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5360" windowHeight="19120" tabRatio="951" firstSheet="1" activeTab="7" autoFilterDateGrouping="1"/>
  </bookViews>
  <sheets>
    <sheet xmlns:r="http://schemas.openxmlformats.org/officeDocument/2006/relationships" name="Guidance" sheetId="1" state="visible" r:id="rId1"/>
    <sheet xmlns:r="http://schemas.openxmlformats.org/officeDocument/2006/relationships" name="OUTPUT_Living wage" sheetId="2" state="visible" r:id="rId2"/>
    <sheet xmlns:r="http://schemas.openxmlformats.org/officeDocument/2006/relationships" name="1. Setting the boundaries" sheetId="3" state="visible" r:id="rId3"/>
    <sheet xmlns:r="http://schemas.openxmlformats.org/officeDocument/2006/relationships" name="2. Housing costs" sheetId="4" state="visible" r:id="rId4"/>
    <sheet xmlns:r="http://schemas.openxmlformats.org/officeDocument/2006/relationships" name="Decent housing" sheetId="5" state="visible" r:id="rId5"/>
    <sheet xmlns:r="http://schemas.openxmlformats.org/officeDocument/2006/relationships" name="3. Food costs" sheetId="6" state="visible" r:id="rId6"/>
    <sheet xmlns:r="http://schemas.openxmlformats.org/officeDocument/2006/relationships" name="CLS - Input data" sheetId="7" state="visible" r:id="rId7"/>
    <sheet xmlns:r="http://schemas.openxmlformats.org/officeDocument/2006/relationships" name="Food costs - Input data" sheetId="8" state="visible" r:id="rId8"/>
    <sheet xmlns:r="http://schemas.openxmlformats.org/officeDocument/2006/relationships" name="Nutritional input" sheetId="9" state="visible" r:id="rId9"/>
    <sheet xmlns:r="http://schemas.openxmlformats.org/officeDocument/2006/relationships" name="4. NFNH costs" sheetId="10" state="visible" r:id="rId10"/>
    <sheet xmlns:r="http://schemas.openxmlformats.org/officeDocument/2006/relationships" name="5. Income tax" sheetId="11" state="visible" r:id="rId11"/>
    <sheet xmlns:r="http://schemas.openxmlformats.org/officeDocument/2006/relationships" name="Background calculations" sheetId="12" state="visible" r:id="rId12"/>
  </sheets>
  <externalReferences>
    <externalReference xmlns:r="http://schemas.openxmlformats.org/officeDocument/2006/relationships" r:id="rId13"/>
    <externalReference xmlns:r="http://schemas.openxmlformats.org/officeDocument/2006/relationships" r:id="rId14"/>
  </externalReferences>
  <definedNames>
    <definedName name="Grains">#REF!</definedName>
    <definedName name="inc">#REF!</definedName>
    <definedName name="Rates2">#REF!</definedName>
    <definedName name="inc" localSheetId="4">'[1]Income tax'!$L$5</definedName>
    <definedName name="Rates2" localSheetId="4">'[1]Income tax'!$F$6:$H$12</definedName>
    <definedName name="Grains" localSheetId="10">#REF!</definedName>
    <definedName name="Rates2" localSheetId="10">'[2]5. Income tax'!$F$27:$H$33</definedName>
    <definedName name="solver_adj" localSheetId="10" hidden="1">'5. Income tax'!$D$19</definedName>
    <definedName name="solver_cvg" localSheetId="10" hidden="1">0.0001</definedName>
    <definedName name="solver_drv" localSheetId="10" hidden="1">2</definedName>
    <definedName name="solver_eng" localSheetId="10" hidden="1">1</definedName>
    <definedName name="solver_est" localSheetId="10" hidden="1">1</definedName>
    <definedName name="solver_itr" localSheetId="10" hidden="1">2147483647</definedName>
    <definedName name="solver_lin" localSheetId="10" hidden="1">2</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0</definedName>
    <definedName name="solver_nwt" localSheetId="10" hidden="1">1</definedName>
    <definedName name="solver_opt" localSheetId="10" hidden="1">'5. Income tax'!$D$25</definedName>
    <definedName name="solver_pre" localSheetId="10" hidden="1">0.000001</definedName>
    <definedName name="solver_rbv" localSheetId="10" hidden="1">2</definedName>
    <definedName name="solver_rlx" localSheetId="10" hidden="1">2</definedName>
    <definedName name="solver_rsd" localSheetId="10" hidden="1">0</definedName>
    <definedName name="solver_scl" localSheetId="10" hidden="1">2</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3</definedName>
    <definedName name="solver_val" localSheetId="10" hidden="1">0</definedName>
    <definedName name="solver_ver" localSheetId="10" hidden="1">3</definedName>
  </definedNames>
  <calcPr calcId="191029" fullCalcOnLoad="1"/>
</workbook>
</file>

<file path=xl/styles.xml><?xml version="1.0" encoding="utf-8"?>
<styleSheet xmlns="http://schemas.openxmlformats.org/spreadsheetml/2006/main">
  <numFmts count="17">
    <numFmt numFmtId="164" formatCode="#,##0_ ;\-#,##0\ "/>
    <numFmt numFmtId="165" formatCode="0.00_);\(0.00\)"/>
    <numFmt numFmtId="166" formatCode="0.0"/>
    <numFmt numFmtId="167" formatCode="0.0%"/>
    <numFmt numFmtId="168" formatCode="_ * #,##0.00_ ;_ * \-#,##0.00_ ;_ * &quot;-&quot;??_ ;_ @_ "/>
    <numFmt numFmtId="169" formatCode="#,##0.0_ ;\-#,##0.0\ "/>
    <numFmt numFmtId="170" formatCode="_(* #,##0_);_(* \(#,##0\);_(* &quot;-&quot;??_);_(@_)"/>
    <numFmt numFmtId="171" formatCode="0.0_);\(0.0\)"/>
    <numFmt numFmtId="172" formatCode="#,##0.00_ ;\-#,##0.00\ "/>
    <numFmt numFmtId="173" formatCode="#,##0.00000"/>
    <numFmt numFmtId="174" formatCode="#,##0.00000000000_);\(#,##0.00000000000\)"/>
    <numFmt numFmtId="175" formatCode="#,##0.000000000"/>
    <numFmt numFmtId="176" formatCode="&quot;$&quot;#,##0.00_);[Red]\(&quot;$&quot;#,##0.00\)"/>
    <numFmt numFmtId="177" formatCode="&quot;$&quot;#,##0_);[Red]\(&quot;$&quot;#,##0\)"/>
    <numFmt numFmtId="178" formatCode="0.00000"/>
    <numFmt numFmtId="179" formatCode="_ * #,##0.000_ ;_ * \-#,##0.000_ ;_ * &quot;-&quot;??_ ;_ @_ "/>
    <numFmt numFmtId="180" formatCode="0.000"/>
  </numFmts>
  <fonts count="61">
    <font>
      <name val="Calibri"/>
      <family val="2"/>
      <color theme="1"/>
      <sz val="11"/>
      <scheme val="minor"/>
    </font>
    <font>
      <name val="Calibri"/>
      <family val="2"/>
      <color rgb="FFFF0000"/>
      <sz val="11"/>
      <scheme val="minor"/>
    </font>
    <font>
      <name val="Calibri"/>
      <family val="2"/>
      <b val="1"/>
      <color theme="1"/>
      <sz val="11"/>
      <scheme val="minor"/>
    </font>
    <font>
      <name val="Calibri"/>
      <family val="2"/>
      <sz val="11"/>
      <scheme val="minor"/>
    </font>
    <font>
      <name val="Calibri"/>
      <family val="2"/>
      <color theme="10"/>
      <sz val="11"/>
      <u val="single"/>
      <scheme val="minor"/>
    </font>
    <font>
      <name val="Calibri"/>
      <family val="2"/>
      <b val="1"/>
      <sz val="11"/>
      <scheme val="minor"/>
    </font>
    <font>
      <name val="Calibri"/>
      <family val="2"/>
      <i val="1"/>
      <color theme="1"/>
      <sz val="11"/>
      <scheme val="minor"/>
    </font>
    <font>
      <name val="Calibri"/>
      <family val="2"/>
      <b val="1"/>
      <color theme="1"/>
      <sz val="12"/>
      <scheme val="minor"/>
    </font>
    <font>
      <name val="Calibri"/>
      <family val="2"/>
      <color theme="1"/>
      <sz val="12"/>
      <scheme val="minor"/>
    </font>
    <font>
      <name val="Calibri"/>
      <family val="2"/>
      <color theme="1"/>
      <sz val="14"/>
      <scheme val="minor"/>
    </font>
    <font>
      <name val="Calibri"/>
      <family val="2"/>
      <b val="1"/>
      <color theme="1"/>
      <sz val="14"/>
      <scheme val="minor"/>
    </font>
    <font>
      <name val="Calibri"/>
      <family val="2"/>
      <b val="1"/>
      <sz val="14"/>
      <scheme val="minor"/>
    </font>
    <font>
      <name val="Calibri"/>
      <family val="2"/>
      <sz val="12"/>
      <scheme val="minor"/>
    </font>
    <font>
      <name val="Calibri"/>
      <family val="2"/>
      <sz val="8"/>
      <scheme val="minor"/>
    </font>
    <font>
      <name val="Calibri"/>
      <family val="2"/>
      <color theme="1"/>
      <sz val="11"/>
      <scheme val="minor"/>
    </font>
    <font>
      <name val="Calibri"/>
      <family val="2"/>
      <i val="1"/>
      <color rgb="FFFF0000"/>
      <sz val="11"/>
      <scheme val="minor"/>
    </font>
    <font>
      <name val="Calibri"/>
      <family val="2"/>
      <b val="1"/>
      <i val="1"/>
      <color theme="1"/>
      <sz val="11"/>
      <scheme val="minor"/>
    </font>
    <font>
      <name val="Calibri Light"/>
      <family val="2"/>
      <color theme="1"/>
      <sz val="11"/>
      <scheme val="major"/>
    </font>
    <font>
      <name val="Calibri"/>
      <family val="2"/>
      <b val="1"/>
      <color theme="1"/>
      <sz val="18"/>
      <scheme val="minor"/>
    </font>
    <font>
      <name val="Calibri"/>
      <family val="2"/>
      <b val="1"/>
      <color theme="0"/>
      <sz val="11"/>
      <scheme val="minor"/>
    </font>
    <font>
      <name val="Calibri"/>
      <family val="2"/>
      <i val="1"/>
      <color theme="1"/>
      <sz val="9"/>
      <scheme val="minor"/>
    </font>
    <font>
      <name val="Calibri"/>
      <family val="2"/>
      <color theme="1"/>
      <sz val="10"/>
      <scheme val="minor"/>
    </font>
    <font>
      <name val="Calibri"/>
      <family val="2"/>
      <color theme="0"/>
      <sz val="11"/>
      <scheme val="minor"/>
    </font>
    <font>
      <name val="Calibri"/>
      <family val="2"/>
      <b val="1"/>
      <color theme="8" tint="-0.499984740745262"/>
      <sz val="48"/>
      <scheme val="minor"/>
    </font>
    <font>
      <name val="Calibri"/>
      <family val="2"/>
      <b val="1"/>
      <color theme="8" tint="-0.499984740745262"/>
      <sz val="11"/>
      <scheme val="minor"/>
    </font>
    <font>
      <name val="Calibri"/>
      <family val="2"/>
      <b val="1"/>
      <color theme="8" tint="-0.499984740745262"/>
      <sz val="16"/>
      <scheme val="minor"/>
    </font>
    <font>
      <name val="Calibri"/>
      <family val="2"/>
      <i val="1"/>
      <color theme="1"/>
      <sz val="14"/>
      <scheme val="minor"/>
    </font>
    <font>
      <name val="Calibri"/>
      <family val="2"/>
      <sz val="14"/>
      <scheme val="minor"/>
    </font>
    <font>
      <name val="Calibri"/>
      <family val="2"/>
      <b val="1"/>
      <color theme="8" tint="-0.499984740745262"/>
      <sz val="11"/>
      <u val="single"/>
      <scheme val="minor"/>
    </font>
    <font>
      <name val="Calibri"/>
      <family val="2"/>
      <color theme="8" tint="-0.499984740745262"/>
      <sz val="11"/>
      <scheme val="minor"/>
    </font>
    <font>
      <name val="Calibri"/>
      <family val="2"/>
      <b val="1"/>
      <color theme="0"/>
      <sz val="16"/>
      <scheme val="minor"/>
    </font>
    <font>
      <name val="Calibri"/>
      <family val="2"/>
      <b val="1"/>
      <color theme="8" tint="-0.499984740745262"/>
      <sz val="18"/>
      <u val="single"/>
      <scheme val="minor"/>
    </font>
    <font>
      <name val="Calibri"/>
      <family val="2"/>
      <b val="1"/>
      <color theme="8" tint="-0.499984740745262"/>
      <sz val="14"/>
      <scheme val="minor"/>
    </font>
    <font>
      <name val="Calibri"/>
      <family val="2"/>
      <color theme="8" tint="-0.499984740745262"/>
      <sz val="14"/>
      <scheme val="minor"/>
    </font>
    <font>
      <name val="Calibri"/>
      <family val="2"/>
      <b val="1"/>
      <color theme="8" tint="-0.499984740745262"/>
      <sz val="22"/>
      <u val="single"/>
      <scheme val="minor"/>
    </font>
    <font>
      <name val="Calibri"/>
      <family val="2"/>
      <b val="1"/>
      <color rgb="FFC00000"/>
      <sz val="11"/>
      <scheme val="minor"/>
    </font>
    <font>
      <name val="Calibri"/>
      <family val="2"/>
      <b val="1"/>
      <color theme="1"/>
      <sz val="16"/>
      <scheme val="minor"/>
    </font>
    <font>
      <name val="Calibri"/>
      <family val="2"/>
      <i val="1"/>
      <color theme="1"/>
      <sz val="11"/>
      <u val="single"/>
      <scheme val="minor"/>
    </font>
    <font>
      <name val="Calibri"/>
      <family val="2"/>
      <b val="1"/>
      <color theme="1"/>
      <sz val="11"/>
      <u val="single"/>
      <scheme val="minor"/>
    </font>
    <font>
      <name val="Calibri"/>
      <family val="2"/>
      <b val="1"/>
      <color rgb="FF000000"/>
      <sz val="12"/>
    </font>
    <font>
      <name val="Calibri"/>
      <family val="2"/>
      <color rgb="FF000000"/>
      <sz val="12"/>
    </font>
    <font>
      <name val="Calibri"/>
      <family val="2"/>
      <b val="1"/>
      <color theme="8" tint="-0.499984740745262"/>
      <sz val="16"/>
      <u val="single"/>
      <scheme val="minor"/>
    </font>
    <font>
      <name val="Calibri"/>
      <family val="2"/>
      <b val="1"/>
      <color rgb="FFC00000"/>
      <sz val="14"/>
      <scheme val="minor"/>
    </font>
    <font>
      <name val="Calibri"/>
      <family val="2"/>
      <b val="1"/>
      <color theme="8" tint="-0.499984740745262"/>
      <sz val="20"/>
      <scheme val="minor"/>
    </font>
    <font>
      <name val="Calibri"/>
      <family val="2"/>
      <b val="1"/>
      <color theme="8" tint="-0.499984740745262"/>
      <sz val="24"/>
      <scheme val="minor"/>
    </font>
    <font>
      <name val="Calibri"/>
      <family val="2"/>
      <b val="1"/>
      <color rgb="FFC00000"/>
      <sz val="22"/>
      <scheme val="minor"/>
    </font>
    <font>
      <name val="Calibri"/>
      <family val="2"/>
      <color theme="8" tint="-0.499984740745262"/>
      <sz val="14"/>
      <u val="single"/>
      <scheme val="minor"/>
    </font>
    <font>
      <name val="Calibri"/>
      <family val="2"/>
      <color theme="1"/>
      <sz val="11"/>
      <u val="single"/>
      <scheme val="minor"/>
    </font>
    <font>
      <name val="Calibri"/>
      <family val="2"/>
      <color theme="1"/>
      <sz val="11"/>
    </font>
    <font>
      <name val="Calibri (Body)"/>
      <color theme="1"/>
      <sz val="11"/>
    </font>
    <font>
      <name val="Arial"/>
      <family val="2"/>
      <color rgb="FF323232"/>
      <sz val="8"/>
    </font>
    <font>
      <name val="Calibri"/>
      <family val="2"/>
      <b val="1"/>
      <color theme="1"/>
      <sz val="11"/>
    </font>
    <font>
      <name val="Calibri Light"/>
      <family val="2"/>
      <sz val="11"/>
      <scheme val="major"/>
    </font>
    <font>
      <name val="Calibri"/>
      <family val="2"/>
      <b val="1"/>
      <color rgb="FF203764"/>
      <sz val="48"/>
    </font>
    <font>
      <name val="Calibri"/>
      <family val="2"/>
      <b val="1"/>
      <color rgb="FF203764"/>
      <sz val="11"/>
      <u val="single"/>
    </font>
    <font>
      <name val="Calibri"/>
      <family val="2"/>
      <b val="1"/>
      <color rgb="FF000000"/>
      <sz val="11"/>
    </font>
    <font>
      <name val="Calibri"/>
      <family val="2"/>
      <b val="1"/>
      <color rgb="FF203764"/>
      <sz val="11"/>
    </font>
    <font>
      <name val="Calibri"/>
      <family val="2"/>
      <color rgb="FF0563C1"/>
      <sz val="11"/>
      <u val="single"/>
    </font>
    <font>
      <name val="Calibri Light"/>
      <family val="2"/>
      <color rgb="FF000000"/>
      <sz val="11"/>
    </font>
    <font>
      <name val="Calibri"/>
      <family val="2"/>
      <b val="1"/>
      <color rgb="FFC00000"/>
      <sz val="11"/>
    </font>
    <font>
      <name val="Calibri"/>
      <family val="2"/>
      <i val="1"/>
      <color rgb="FF000000"/>
      <sz val="11"/>
    </font>
  </fonts>
  <fills count="28">
    <fill>
      <patternFill/>
    </fill>
    <fill>
      <patternFill patternType="gray125"/>
    </fill>
    <fill>
      <patternFill patternType="solid">
        <fgColor theme="7" tint="0.7999816888943144"/>
        <bgColor indexed="64"/>
      </patternFill>
    </fill>
    <fill>
      <patternFill patternType="solid">
        <fgColor theme="0"/>
        <bgColor indexed="64"/>
      </patternFill>
    </fill>
    <fill>
      <patternFill patternType="solid">
        <fgColor theme="2"/>
        <bgColor indexed="64"/>
      </patternFill>
    </fill>
    <fill>
      <patternFill patternType="solid">
        <fgColor theme="2" tint="-0.09997863704336681"/>
        <bgColor indexed="64"/>
      </patternFill>
    </fill>
    <fill>
      <patternFill patternType="solid">
        <fgColor theme="8" tint="0.7999816888943144"/>
        <bgColor indexed="64"/>
      </patternFill>
    </fill>
    <fill>
      <patternFill patternType="solid">
        <fgColor rgb="FFFFB7B9"/>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8" tint="-0.249977111117893"/>
        <bgColor indexed="64"/>
      </patternFill>
    </fill>
    <fill>
      <patternFill patternType="solid">
        <fgColor theme="0" tint="-0.0499893185216834"/>
        <bgColor indexed="64"/>
      </patternFill>
    </fill>
    <fill>
      <patternFill patternType="solid">
        <fgColor theme="9" tint="0.3999755851924192"/>
        <bgColor indexed="64"/>
      </patternFill>
    </fill>
    <fill>
      <patternFill patternType="solid">
        <fgColor theme="8" tint="-0.499984740745262"/>
        <bgColor indexed="64"/>
      </patternFill>
    </fill>
    <fill>
      <patternFill patternType="solid">
        <fgColor theme="8" tint="0.5999938962981048"/>
        <bgColor indexed="64"/>
      </patternFill>
    </fill>
    <fill>
      <patternFill patternType="solid">
        <fgColor theme="5" tint="0.3999755851924192"/>
        <bgColor indexed="64"/>
      </patternFill>
    </fill>
    <fill>
      <patternFill patternType="solid">
        <fgColor rgb="FFFEF2CB"/>
        <bgColor rgb="FFFEF2CB"/>
      </patternFill>
    </fill>
    <fill>
      <patternFill patternType="solid">
        <fgColor rgb="FFD9E2F3"/>
        <bgColor rgb="FFD9E2F3"/>
      </patternFill>
    </fill>
    <fill>
      <patternFill patternType="solid">
        <fgColor rgb="FFD0CECE"/>
        <bgColor rgb="FF000000"/>
      </patternFill>
    </fill>
    <fill>
      <patternFill patternType="solid">
        <fgColor rgb="FFF2F2F2"/>
        <bgColor rgb="FF000000"/>
      </patternFill>
    </fill>
    <fill>
      <patternFill patternType="solid">
        <fgColor rgb="FFFFF2CC"/>
        <bgColor rgb="FF000000"/>
      </patternFill>
    </fill>
    <fill>
      <patternFill patternType="solid">
        <fgColor rgb="FFE2EFDA"/>
        <bgColor rgb="FF000000"/>
      </patternFill>
    </fill>
    <fill>
      <patternFill patternType="solid">
        <fgColor rgb="FFD9E1F2"/>
        <bgColor rgb="FF000000"/>
      </patternFill>
    </fill>
    <fill>
      <patternFill patternType="solid">
        <fgColor rgb="FFEDEDED"/>
        <bgColor rgb="FF000000"/>
      </patternFill>
    </fill>
    <fill>
      <patternFill patternType="solid">
        <fgColor rgb="FFFFFF00"/>
        <bgColor indexed="64"/>
      </patternFill>
    </fill>
  </fills>
  <borders count="4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auto="1"/>
      </top>
      <bottom style="medium">
        <color auto="1"/>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medium">
        <color indexed="64"/>
      </bottom>
      <diagonal/>
    </border>
    <border>
      <left style="thin">
        <color theme="7" tint="0.3999755851924192"/>
      </left>
      <right style="thin">
        <color theme="7" tint="0.3999755851924192"/>
      </right>
      <top style="thin">
        <color theme="7" tint="0.3999755851924192"/>
      </top>
      <bottom style="thin">
        <color theme="7" tint="0.3999755851924192"/>
      </bottom>
      <diagonal/>
    </border>
    <border>
      <left style="medium">
        <color indexed="64"/>
      </left>
      <right/>
      <top style="medium">
        <color indexed="64"/>
      </top>
      <bottom style="medium">
        <color indexed="64"/>
      </bottom>
      <diagonal/>
    </border>
    <border>
      <left/>
      <right/>
      <top/>
      <bottom style="double">
        <color indexed="64"/>
      </bottom>
      <diagonal/>
    </border>
    <border>
      <left style="thin">
        <color indexed="64"/>
      </left>
      <right/>
      <top/>
      <bottom/>
      <diagonal/>
    </border>
    <border>
      <left/>
      <right style="thin">
        <color indexed="64"/>
      </right>
      <top/>
      <bottom style="thin">
        <color indexed="64"/>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double">
        <color theme="8" tint="-0.499984740745262"/>
      </left>
      <right/>
      <top style="double">
        <color theme="8" tint="-0.499984740745262"/>
      </top>
      <bottom/>
      <diagonal/>
    </border>
    <border>
      <left/>
      <right/>
      <top style="double">
        <color theme="8" tint="-0.499984740745262"/>
      </top>
      <bottom/>
      <diagonal/>
    </border>
    <border>
      <left/>
      <right style="double">
        <color theme="8" tint="-0.499984740745262"/>
      </right>
      <top style="double">
        <color theme="8" tint="-0.499984740745262"/>
      </top>
      <bottom/>
      <diagonal/>
    </border>
    <border>
      <left style="double">
        <color theme="8" tint="-0.499984740745262"/>
      </left>
      <right/>
      <top/>
      <bottom/>
      <diagonal/>
    </border>
    <border>
      <left/>
      <right style="double">
        <color theme="8" tint="-0.499984740745262"/>
      </right>
      <top/>
      <bottom/>
      <diagonal/>
    </border>
    <border>
      <left style="double">
        <color theme="8" tint="-0.499984740745262"/>
      </left>
      <right/>
      <top/>
      <bottom style="double">
        <color theme="8" tint="-0.499984740745262"/>
      </bottom>
      <diagonal/>
    </border>
    <border>
      <left/>
      <right/>
      <top/>
      <bottom style="double">
        <color theme="8" tint="-0.499984740745262"/>
      </bottom>
      <diagonal/>
    </border>
    <border>
      <left/>
      <right style="double">
        <color theme="8" tint="-0.499984740745262"/>
      </right>
      <top/>
      <bottom style="double">
        <color theme="8" tint="-0.499984740745262"/>
      </bottom>
      <diagonal/>
    </border>
    <border>
      <left style="thin">
        <color theme="8" tint="-0.499984740745262"/>
      </left>
      <right style="thin">
        <color theme="8" tint="-0.499984740745262"/>
      </right>
      <top/>
      <bottom style="thin">
        <color theme="8" tint="-0.4999847407452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medium">
        <color indexed="64"/>
      </top>
      <bottom/>
      <diagonal/>
    </border>
    <border>
      <left/>
      <right/>
      <top style="thin">
        <color indexed="64"/>
      </top>
      <bottom style="thin">
        <color indexed="64"/>
      </bottom>
      <diagonal/>
    </border>
    <border>
      <left style="thin">
        <color theme="7" tint="0.3999755851924192"/>
      </left>
      <right style="thin">
        <color theme="7" tint="0.3999755851924192"/>
      </right>
      <top/>
      <bottom style="thin">
        <color theme="7" tint="0.3999755851924192"/>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7" tint="0.3999755851924192"/>
      </left>
      <right style="thin">
        <color theme="7" tint="0.3999755851924192"/>
      </right>
      <top style="thin">
        <color theme="7" tint="0.3999755851924192"/>
      </top>
      <bottom/>
      <diagonal/>
    </border>
    <border>
      <left style="medium">
        <color indexed="64"/>
      </left>
      <right style="thin">
        <color indexed="64"/>
      </right>
      <top style="medium">
        <color indexed="64"/>
      </top>
      <bottom style="medium">
        <color indexed="64"/>
      </bottom>
      <diagonal/>
    </border>
    <border>
      <left style="thin">
        <color theme="8" tint="-0.499984740745262"/>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
      <left style="thin">
        <color rgb="FF000000"/>
      </left>
      <right style="thin">
        <color rgb="FF000000"/>
      </right>
      <top style="thin">
        <color rgb="FF000000"/>
      </top>
      <bottom style="thin">
        <color rgb="FF000000"/>
      </bottom>
      <diagonal/>
    </border>
    <border>
      <left style="thin">
        <color rgb="FF203764"/>
      </left>
      <right style="thin">
        <color rgb="FF203764"/>
      </right>
      <top style="thin">
        <color rgb="FF203764"/>
      </top>
      <bottom style="thin">
        <color rgb="FF203764"/>
      </bottom>
      <diagonal/>
    </border>
    <border>
      <left style="thin">
        <color rgb="FFFFD966"/>
      </left>
      <right style="thin">
        <color rgb="FFFFD966"/>
      </right>
      <top/>
      <bottom style="thin">
        <color rgb="FFFFD966"/>
      </bottom>
      <diagonal/>
    </border>
    <border>
      <left/>
      <right/>
      <top style="thin">
        <color indexed="64"/>
      </top>
      <bottom/>
      <diagonal/>
    </border>
    <border>
      <left/>
      <right style="thin">
        <color indexed="64"/>
      </right>
      <top style="thin">
        <color indexed="64"/>
      </top>
      <bottom/>
      <diagonal/>
    </border>
    <border>
      <left/>
      <right/>
      <top style="thin">
        <color theme="8" tint="-0.499984740745262"/>
      </top>
      <bottom/>
      <diagonal/>
    </border>
    <border>
      <left/>
      <right style="thin">
        <color theme="8" tint="-0.499984740745262"/>
      </right>
      <top style="thin">
        <color theme="8" tint="-0.499984740745262"/>
      </top>
      <bottom/>
      <diagonal/>
    </border>
    <border>
      <left style="medium">
        <color indexed="64"/>
      </left>
      <right style="medium">
        <color indexed="64"/>
      </right>
      <top/>
      <bottom style="medium">
        <color indexed="64"/>
      </bottom>
      <diagonal/>
    </border>
  </borders>
  <cellStyleXfs count="5">
    <xf numFmtId="0" fontId="14" fillId="0" borderId="0"/>
    <xf numFmtId="0" fontId="4" fillId="0" borderId="0"/>
    <xf numFmtId="168" fontId="14" fillId="0" borderId="0"/>
    <xf numFmtId="9" fontId="14" fillId="0" borderId="0"/>
    <xf numFmtId="43" fontId="14" fillId="0" borderId="0"/>
  </cellStyleXfs>
  <cellXfs count="520">
    <xf numFmtId="0" fontId="0" fillId="0" borderId="0" pivotButton="0" quotePrefix="0" xfId="0"/>
    <xf numFmtId="0" fontId="0" fillId="6" borderId="0" pivotButton="0" quotePrefix="0" xfId="0"/>
    <xf numFmtId="0" fontId="4" fillId="0" borderId="0" pivotButton="0" quotePrefix="0" xfId="1"/>
    <xf numFmtId="0" fontId="0" fillId="0" borderId="0" applyAlignment="1" pivotButton="0" quotePrefix="0" xfId="0">
      <alignment horizontal="right"/>
    </xf>
    <xf numFmtId="0" fontId="28" fillId="0" borderId="0" pivotButton="0" quotePrefix="0" xfId="0"/>
    <xf numFmtId="0" fontId="19" fillId="13" borderId="0" pivotButton="0" quotePrefix="0" xfId="0"/>
    <xf numFmtId="0" fontId="22" fillId="13" borderId="0" pivotButton="0" quotePrefix="0" xfId="0"/>
    <xf numFmtId="0" fontId="4" fillId="6" borderId="0" pivotButton="0" quotePrefix="0" xfId="1"/>
    <xf numFmtId="0" fontId="30" fillId="13" borderId="0" pivotButton="0" quotePrefix="0" xfId="0"/>
    <xf numFmtId="0" fontId="23" fillId="0" borderId="0" applyAlignment="1" pivotButton="0" quotePrefix="0" xfId="0">
      <alignment horizontal="left" indent="9"/>
    </xf>
    <xf numFmtId="0" fontId="0" fillId="0" borderId="7" applyAlignment="1" pivotButton="0" quotePrefix="0" xfId="0">
      <alignment horizontal="left" vertical="center" wrapText="1"/>
    </xf>
    <xf numFmtId="0" fontId="0" fillId="0" borderId="7" applyAlignment="1" pivotButton="0" quotePrefix="0" xfId="0">
      <alignment vertical="center" wrapText="1"/>
    </xf>
    <xf numFmtId="0" fontId="0" fillId="0" borderId="7" applyAlignment="1" pivotButton="0" quotePrefix="0" xfId="0">
      <alignment vertical="center"/>
    </xf>
    <xf numFmtId="0" fontId="0" fillId="18" borderId="31" applyAlignment="1" pivotButton="0" quotePrefix="0" xfId="0">
      <alignment horizontal="center" vertical="center" wrapText="1"/>
    </xf>
    <xf numFmtId="0" fontId="0" fillId="18" borderId="33" applyAlignment="1" pivotButton="0" quotePrefix="0" xfId="0">
      <alignment horizontal="center" vertical="center" wrapText="1"/>
    </xf>
    <xf numFmtId="0" fontId="0" fillId="18" borderId="28" applyAlignment="1" pivotButton="0" quotePrefix="0" xfId="0">
      <alignment horizontal="center" vertical="center" wrapText="1"/>
    </xf>
    <xf numFmtId="0" fontId="29" fillId="6" borderId="0" applyAlignment="1" pivotButton="0" quotePrefix="0" xfId="0">
      <alignment vertical="center"/>
    </xf>
    <xf numFmtId="0" fontId="2" fillId="4" borderId="7" applyAlignment="1" pivotButton="0" quotePrefix="0" xfId="0">
      <alignment horizontal="center"/>
    </xf>
    <xf numFmtId="0" fontId="2" fillId="4" borderId="7" applyAlignment="1" pivotButton="0" quotePrefix="0" xfId="0">
      <alignment wrapText="1"/>
    </xf>
    <xf numFmtId="0" fontId="0" fillId="2" borderId="7" applyAlignment="1" applyProtection="1" pivotButton="0" quotePrefix="0" xfId="0">
      <alignment horizontal="center" vertical="center"/>
      <protection locked="0" hidden="0"/>
    </xf>
    <xf numFmtId="164" fontId="14" fillId="2" borderId="7" applyAlignment="1" applyProtection="1" pivotButton="0" quotePrefix="0" xfId="2">
      <alignment horizontal="center" vertical="center"/>
      <protection locked="0" hidden="0"/>
    </xf>
    <xf numFmtId="0" fontId="23" fillId="0" borderId="0" applyProtection="1" pivotButton="0" quotePrefix="0" xfId="0">
      <protection locked="1" hidden="1"/>
    </xf>
    <xf numFmtId="0" fontId="0" fillId="0" borderId="0" applyProtection="1" pivotButton="0" quotePrefix="0" xfId="0">
      <protection locked="1" hidden="1"/>
    </xf>
    <xf numFmtId="0" fontId="28" fillId="0" borderId="0" applyProtection="1" pivotButton="0" quotePrefix="0" xfId="0">
      <protection locked="1" hidden="1"/>
    </xf>
    <xf numFmtId="0" fontId="36" fillId="5" borderId="0" applyProtection="1" pivotButton="0" quotePrefix="0" xfId="0">
      <protection locked="1" hidden="1"/>
    </xf>
    <xf numFmtId="0" fontId="2" fillId="5" borderId="0" applyProtection="1" pivotButton="0" quotePrefix="0" xfId="0">
      <protection locked="1" hidden="1"/>
    </xf>
    <xf numFmtId="0" fontId="47" fillId="0" borderId="0" applyProtection="1" pivotButton="0" quotePrefix="0" xfId="0">
      <protection locked="1" hidden="1"/>
    </xf>
    <xf numFmtId="165" fontId="0" fillId="6" borderId="0" applyAlignment="1" applyProtection="1" pivotButton="0" quotePrefix="0" xfId="0">
      <alignment horizontal="center"/>
      <protection locked="1" hidden="1"/>
    </xf>
    <xf numFmtId="0" fontId="19" fillId="13" borderId="0" applyProtection="1" pivotButton="0" quotePrefix="0" xfId="0">
      <protection locked="1" hidden="1"/>
    </xf>
    <xf numFmtId="0" fontId="22" fillId="13" borderId="0" applyProtection="1" pivotButton="0" quotePrefix="0" xfId="0">
      <protection locked="1" hidden="1"/>
    </xf>
    <xf numFmtId="166" fontId="0" fillId="6" borderId="0" applyAlignment="1" applyProtection="1" pivotButton="0" quotePrefix="0" xfId="0">
      <alignment horizontal="center"/>
      <protection locked="1" hidden="1"/>
    </xf>
    <xf numFmtId="0" fontId="0" fillId="0" borderId="0" applyAlignment="1" applyProtection="1" pivotButton="0" quotePrefix="0" xfId="0">
      <alignment wrapText="1"/>
      <protection locked="1" hidden="1"/>
    </xf>
    <xf numFmtId="167" fontId="0" fillId="6" borderId="0" applyAlignment="1" applyProtection="1" pivotButton="0" quotePrefix="0" xfId="3">
      <alignment horizontal="center"/>
      <protection locked="1" hidden="1"/>
    </xf>
    <xf numFmtId="2" fontId="0" fillId="6" borderId="0" applyAlignment="1" applyProtection="1" pivotButton="0" quotePrefix="0" xfId="0">
      <alignment horizontal="center"/>
      <protection locked="1" hidden="1"/>
    </xf>
    <xf numFmtId="0" fontId="0" fillId="0" borderId="0" applyAlignment="1" applyProtection="1" pivotButton="0" quotePrefix="0" xfId="0">
      <alignment horizontal="left"/>
      <protection locked="1" hidden="1"/>
    </xf>
    <xf numFmtId="0" fontId="0" fillId="3" borderId="7" applyAlignment="1" applyProtection="1" pivotButton="0" quotePrefix="0" xfId="0">
      <alignment horizontal="center"/>
      <protection locked="1" hidden="1"/>
    </xf>
    <xf numFmtId="0" fontId="0" fillId="3" borderId="0" applyProtection="1" pivotButton="0" quotePrefix="0" xfId="0">
      <protection locked="1" hidden="1"/>
    </xf>
    <xf numFmtId="0" fontId="2" fillId="4" borderId="0" applyProtection="1" pivotButton="0" quotePrefix="0" xfId="0">
      <protection locked="1" hidden="1"/>
    </xf>
    <xf numFmtId="0" fontId="2" fillId="4" borderId="0" applyAlignment="1" applyProtection="1" pivotButton="0" quotePrefix="0" xfId="0">
      <alignment horizontal="center" wrapText="1"/>
      <protection locked="1" hidden="1"/>
    </xf>
    <xf numFmtId="0" fontId="2" fillId="4" borderId="9" applyAlignment="1" applyProtection="1" pivotButton="0" quotePrefix="0" xfId="0">
      <alignment horizontal="center" wrapText="1"/>
      <protection locked="1" hidden="1"/>
    </xf>
    <xf numFmtId="1" fontId="0" fillId="4" borderId="0" applyAlignment="1" applyProtection="1" pivotButton="0" quotePrefix="0" xfId="0">
      <alignment horizontal="center"/>
      <protection locked="1" hidden="1"/>
    </xf>
    <xf numFmtId="1" fontId="0" fillId="7" borderId="0" applyAlignment="1" applyProtection="1" pivotButton="0" quotePrefix="0" xfId="0">
      <alignment horizontal="center"/>
      <protection locked="1" hidden="1"/>
    </xf>
    <xf numFmtId="166" fontId="0" fillId="4" borderId="0" applyAlignment="1" applyProtection="1" pivotButton="0" quotePrefix="0" xfId="0">
      <alignment horizontal="center"/>
      <protection locked="1" hidden="1"/>
    </xf>
    <xf numFmtId="1" fontId="0" fillId="6" borderId="0" applyAlignment="1" applyProtection="1" pivotButton="0" quotePrefix="0" xfId="0">
      <alignment horizontal="center" vertical="center"/>
      <protection locked="1" hidden="1"/>
    </xf>
    <xf numFmtId="0" fontId="0" fillId="6" borderId="0" applyAlignment="1" applyProtection="1" pivotButton="0" quotePrefix="0" xfId="0">
      <alignment horizontal="center" vertical="center"/>
      <protection locked="1" hidden="1"/>
    </xf>
    <xf numFmtId="0" fontId="0" fillId="6" borderId="0" applyProtection="1" pivotButton="0" quotePrefix="0" xfId="0">
      <protection locked="1" hidden="1"/>
    </xf>
    <xf numFmtId="0" fontId="0" fillId="6" borderId="0" applyAlignment="1" applyProtection="1" pivotButton="0" quotePrefix="0" xfId="0">
      <alignment horizontal="center"/>
      <protection locked="1" hidden="1"/>
    </xf>
    <xf numFmtId="0" fontId="2" fillId="6" borderId="38" applyAlignment="1" applyProtection="1" pivotButton="0" quotePrefix="0" xfId="0">
      <alignment vertical="center" wrapText="1"/>
      <protection locked="1" hidden="1"/>
    </xf>
    <xf numFmtId="164" fontId="2" fillId="6" borderId="35" applyAlignment="1" applyProtection="1" pivotButton="0" quotePrefix="0" xfId="0">
      <alignment horizontal="center" vertical="center"/>
      <protection locked="1" hidden="1"/>
    </xf>
    <xf numFmtId="164" fontId="2" fillId="6" borderId="36"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166" fontId="0" fillId="9" borderId="7" applyAlignment="1" applyProtection="1" pivotButton="0" quotePrefix="0" xfId="0">
      <alignment horizontal="center"/>
      <protection locked="1" hidden="1"/>
    </xf>
    <xf numFmtId="3" fontId="0" fillId="6" borderId="0"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2" fillId="0" borderId="7" applyAlignment="1" applyProtection="1" pivotButton="0" quotePrefix="0" xfId="0">
      <alignment wrapText="1"/>
      <protection locked="1" hidden="1"/>
    </xf>
    <xf numFmtId="164" fontId="2" fillId="6" borderId="7" applyAlignment="1" applyProtection="1" pivotButton="0" quotePrefix="0" xfId="2">
      <alignment horizontal="center" vertical="center"/>
      <protection locked="1" hidden="1"/>
    </xf>
    <xf numFmtId="9" fontId="0" fillId="9" borderId="7" applyAlignment="1" applyProtection="1" pivotButton="0" quotePrefix="0" xfId="3">
      <alignment horizontal="center"/>
      <protection locked="1" hidden="1"/>
    </xf>
    <xf numFmtId="0" fontId="8" fillId="0" borderId="0" applyProtection="1" pivotButton="0" quotePrefix="0" xfId="0">
      <protection locked="1" hidden="1"/>
    </xf>
    <xf numFmtId="10" fontId="0" fillId="9" borderId="7" applyAlignment="1" applyProtection="1" pivotButton="0" quotePrefix="0" xfId="3">
      <alignment horizontal="center"/>
      <protection locked="1" hidden="1"/>
    </xf>
    <xf numFmtId="9" fontId="0" fillId="0" borderId="0" applyProtection="1" pivotButton="0" quotePrefix="0" xfId="3">
      <protection locked="1" hidden="1"/>
    </xf>
    <xf numFmtId="0" fontId="2" fillId="0" borderId="0" applyProtection="1" pivotButton="0" quotePrefix="0" xfId="0">
      <protection locked="1" hidden="1"/>
    </xf>
    <xf numFmtId="0" fontId="0" fillId="14" borderId="0" applyAlignment="1" applyProtection="1" pivotButton="0" quotePrefix="0" xfId="0">
      <alignment horizontal="center"/>
      <protection locked="1" hidden="1"/>
    </xf>
    <xf numFmtId="0" fontId="7" fillId="14" borderId="7" applyAlignment="1" applyProtection="1" pivotButton="0" quotePrefix="0" xfId="0">
      <alignment horizontal="center" vertical="center"/>
      <protection locked="1" hidden="1"/>
    </xf>
    <xf numFmtId="0" fontId="6" fillId="0" borderId="0" applyProtection="1" pivotButton="0" quotePrefix="0" xfId="0">
      <protection locked="1" hidden="1"/>
    </xf>
    <xf numFmtId="0" fontId="21" fillId="0" borderId="0" applyProtection="1" pivotButton="0" quotePrefix="0" xfId="0">
      <protection locked="1" hidden="1"/>
    </xf>
    <xf numFmtId="0" fontId="0" fillId="0" borderId="0" applyAlignment="1" applyProtection="1" pivotButton="0" quotePrefix="0" xfId="0">
      <alignment vertical="center"/>
      <protection locked="1" hidden="1"/>
    </xf>
    <xf numFmtId="0" fontId="0" fillId="9" borderId="0" applyProtection="1" pivotButton="0" quotePrefix="0" xfId="0">
      <protection locked="1" hidden="1"/>
    </xf>
    <xf numFmtId="0" fontId="2" fillId="9" borderId="0" applyAlignment="1" applyProtection="1" pivotButton="0" quotePrefix="0" xfId="0">
      <alignment horizontal="center" wrapText="1"/>
      <protection locked="1" hidden="1"/>
    </xf>
    <xf numFmtId="0" fontId="0" fillId="9" borderId="0" applyAlignment="1" applyProtection="1" pivotButton="0" quotePrefix="0" xfId="0">
      <alignment horizontal="center"/>
      <protection locked="1" hidden="1"/>
    </xf>
    <xf numFmtId="0" fontId="0" fillId="4" borderId="0" applyAlignment="1" applyProtection="1" pivotButton="0" quotePrefix="0" xfId="0">
      <alignment horizontal="center"/>
      <protection locked="1" hidden="1"/>
    </xf>
    <xf numFmtId="0" fontId="0" fillId="9" borderId="0" applyAlignment="1" applyProtection="1" pivotButton="0" quotePrefix="0" xfId="0">
      <alignment horizontal="center" wrapText="1"/>
      <protection locked="1" hidden="1"/>
    </xf>
    <xf numFmtId="3" fontId="0" fillId="0" borderId="0" applyAlignment="1" applyProtection="1" pivotButton="0" quotePrefix="0" xfId="0">
      <alignment horizontal="center"/>
      <protection locked="1" hidden="1"/>
    </xf>
    <xf numFmtId="0" fontId="5" fillId="0" borderId="0" applyProtection="1" pivotButton="0" quotePrefix="0" xfId="0">
      <protection locked="1" hidden="1"/>
    </xf>
    <xf numFmtId="1" fontId="0" fillId="6" borderId="0" applyProtection="1" pivotButton="0" quotePrefix="0" xfId="0">
      <protection locked="1" hidden="1"/>
    </xf>
    <xf numFmtId="0" fontId="10" fillId="0" borderId="0" applyProtection="1" pivotButton="0" quotePrefix="0" xfId="0">
      <protection locked="1" hidden="1"/>
    </xf>
    <xf numFmtId="0" fontId="0" fillId="0" borderId="0" applyAlignment="1" applyProtection="1" pivotButton="0" quotePrefix="0" xfId="0">
      <alignment horizontal="right"/>
      <protection locked="1" hidden="1"/>
    </xf>
    <xf numFmtId="168" fontId="0" fillId="6" borderId="0" applyProtection="1" pivotButton="0" quotePrefix="0" xfId="0">
      <protection locked="1" hidden="1"/>
    </xf>
    <xf numFmtId="168" fontId="0" fillId="6" borderId="0" applyProtection="1" pivotButton="0" quotePrefix="1" xfId="0">
      <protection locked="1" hidden="1"/>
    </xf>
    <xf numFmtId="0" fontId="2" fillId="12" borderId="0" applyProtection="1" pivotButton="0" quotePrefix="0" xfId="0">
      <protection locked="1" hidden="1"/>
    </xf>
    <xf numFmtId="9" fontId="2" fillId="0" borderId="0" applyProtection="1" pivotButton="0" quotePrefix="0" xfId="0">
      <protection locked="1" hidden="1"/>
    </xf>
    <xf numFmtId="2" fontId="0" fillId="6" borderId="0" applyProtection="1" pivotButton="0" quotePrefix="0" xfId="0">
      <protection locked="1" hidden="1"/>
    </xf>
    <xf numFmtId="2" fontId="3" fillId="6" borderId="0" applyProtection="1" pivotButton="0" quotePrefix="0" xfId="0">
      <protection locked="1" hidden="1"/>
    </xf>
    <xf numFmtId="2" fontId="2" fillId="6" borderId="0" applyProtection="1" pivotButton="0" quotePrefix="0" xfId="0">
      <protection locked="1" hidden="1"/>
    </xf>
    <xf numFmtId="168" fontId="2" fillId="0" borderId="0" applyProtection="1" pivotButton="0" quotePrefix="0" xfId="2">
      <protection locked="1" hidden="1"/>
    </xf>
    <xf numFmtId="168" fontId="2" fillId="12" borderId="0" applyProtection="1" pivotButton="0" quotePrefix="0" xfId="2">
      <protection locked="1" hidden="1"/>
    </xf>
    <xf numFmtId="2" fontId="2" fillId="4" borderId="0" applyProtection="1" pivotButton="0" quotePrefix="0" xfId="0">
      <protection locked="1" hidden="1"/>
    </xf>
    <xf numFmtId="168" fontId="0" fillId="0" borderId="0" applyProtection="1" pivotButton="0" quotePrefix="0" xfId="0">
      <protection locked="1" hidden="1"/>
    </xf>
    <xf numFmtId="0" fontId="0" fillId="0" borderId="9" applyProtection="1" pivotButton="0" quotePrefix="0" xfId="0">
      <protection locked="1" hidden="1"/>
    </xf>
    <xf numFmtId="0" fontId="2" fillId="0" borderId="9" applyAlignment="1" applyProtection="1" pivotButton="0" quotePrefix="0" xfId="0">
      <alignment horizontal="center"/>
      <protection locked="1" hidden="1"/>
    </xf>
    <xf numFmtId="164" fontId="0" fillId="6" borderId="7" applyAlignment="1" applyProtection="1" pivotButton="0" quotePrefix="0" xfId="0">
      <alignment horizontal="center"/>
      <protection locked="1" hidden="1"/>
    </xf>
    <xf numFmtId="0" fontId="0" fillId="12" borderId="7" applyAlignment="1" applyProtection="1" pivotButton="0" quotePrefix="0" xfId="0">
      <alignment horizontal="center"/>
      <protection locked="1" hidden="1"/>
    </xf>
    <xf numFmtId="0" fontId="6" fillId="0" borderId="9" applyProtection="1" pivotButton="0" quotePrefix="0" xfId="0">
      <protection locked="1" hidden="1"/>
    </xf>
    <xf numFmtId="0" fontId="2" fillId="0" borderId="0" applyAlignment="1" applyProtection="1" pivotButton="0" quotePrefix="0" xfId="0">
      <alignment horizontal="left"/>
      <protection locked="1" hidden="1"/>
    </xf>
    <xf numFmtId="0" fontId="0" fillId="18" borderId="0" applyProtection="1" pivotButton="0" quotePrefix="0" xfId="0">
      <protection locked="1" hidden="1"/>
    </xf>
    <xf numFmtId="0" fontId="2" fillId="18" borderId="0" applyAlignment="1" applyProtection="1" pivotButton="0" quotePrefix="0" xfId="0">
      <alignment horizontal="left"/>
      <protection locked="1" hidden="1"/>
    </xf>
    <xf numFmtId="0" fontId="0" fillId="18" borderId="0" applyAlignment="1" applyProtection="1" pivotButton="0" quotePrefix="0" xfId="0">
      <alignment horizontal="right"/>
      <protection locked="1" hidden="1"/>
    </xf>
    <xf numFmtId="0" fontId="0" fillId="0" borderId="7" applyAlignment="1" applyProtection="1" pivotButton="0" quotePrefix="0" xfId="0">
      <alignment vertical="center" wrapText="1"/>
      <protection locked="1" hidden="1"/>
    </xf>
    <xf numFmtId="0" fontId="0" fillId="0" borderId="7" applyAlignment="1" applyProtection="1" pivotButton="0" quotePrefix="0" xfId="0">
      <alignment horizontal="left" vertical="center"/>
      <protection locked="1" hidden="1"/>
    </xf>
    <xf numFmtId="3" fontId="0" fillId="6" borderId="7" applyAlignment="1" applyProtection="1" pivotButton="0" quotePrefix="0" xfId="0">
      <alignment horizontal="center" vertical="center"/>
      <protection locked="1" hidden="1"/>
    </xf>
    <xf numFmtId="0" fontId="0" fillId="0" borderId="7" applyAlignment="1" applyProtection="1" pivotButton="0" quotePrefix="0" xfId="0">
      <alignment horizontal="left" vertical="center" wrapText="1"/>
      <protection locked="1" hidden="1"/>
    </xf>
    <xf numFmtId="3" fontId="0" fillId="0" borderId="0" applyAlignment="1" applyProtection="1" pivotButton="0" quotePrefix="0" xfId="0">
      <alignment horizontal="center" vertical="center"/>
      <protection locked="1" hidden="1"/>
    </xf>
    <xf numFmtId="0" fontId="0" fillId="0" borderId="0" applyAlignment="1" applyProtection="1" pivotButton="0" quotePrefix="0" xfId="0">
      <alignment vertical="center" wrapText="1"/>
      <protection locked="1" hidden="1"/>
    </xf>
    <xf numFmtId="0" fontId="0" fillId="0" borderId="0" applyAlignment="1" applyProtection="1" pivotButton="0" quotePrefix="0" xfId="0">
      <alignment horizontal="left" vertical="center" wrapText="1"/>
      <protection locked="1" hidden="1"/>
    </xf>
    <xf numFmtId="0" fontId="6" fillId="0" borderId="14" applyProtection="1" pivotButton="0" quotePrefix="0" xfId="0">
      <protection locked="1" hidden="1"/>
    </xf>
    <xf numFmtId="0" fontId="0" fillId="0" borderId="8" applyProtection="1" pivotButton="0" quotePrefix="0" xfId="0">
      <protection locked="1" hidden="1"/>
    </xf>
    <xf numFmtId="2" fontId="0" fillId="6" borderId="7" applyAlignment="1" applyProtection="1" pivotButton="0" quotePrefix="0" xfId="0">
      <alignment horizontal="center"/>
      <protection locked="1" hidden="1"/>
    </xf>
    <xf numFmtId="164" fontId="0" fillId="6" borderId="7" applyAlignment="1" applyProtection="1" pivotButton="0" quotePrefix="0" xfId="2">
      <alignment horizontal="center"/>
      <protection locked="1" hidden="1"/>
    </xf>
    <xf numFmtId="9" fontId="0" fillId="6" borderId="7" applyAlignment="1" applyProtection="1" pivotButton="0" quotePrefix="0" xfId="0">
      <alignment horizontal="center"/>
      <protection locked="1" hidden="1"/>
    </xf>
    <xf numFmtId="0" fontId="0" fillId="0" borderId="15" applyProtection="1" pivotButton="0" quotePrefix="0" xfId="0">
      <protection locked="1" hidden="1"/>
    </xf>
    <xf numFmtId="0" fontId="0" fillId="0" borderId="0" applyAlignment="1" applyProtection="1" pivotButton="0" quotePrefix="0" xfId="0">
      <alignment horizontal="center" wrapText="1"/>
      <protection locked="1" hidden="1"/>
    </xf>
    <xf numFmtId="167" fontId="0" fillId="6" borderId="7" applyAlignment="1" applyProtection="1" pivotButton="0" quotePrefix="0" xfId="3">
      <alignment horizontal="center"/>
      <protection locked="1" hidden="1"/>
    </xf>
    <xf numFmtId="164" fontId="0" fillId="6" borderId="29" applyAlignment="1" applyProtection="1" pivotButton="0" quotePrefix="0" xfId="2">
      <alignment horizontal="center"/>
      <protection locked="1" hidden="1"/>
    </xf>
    <xf numFmtId="0" fontId="2" fillId="0" borderId="14" applyProtection="1" pivotButton="0" quotePrefix="0" xfId="0">
      <protection locked="1" hidden="1"/>
    </xf>
    <xf numFmtId="164" fontId="2" fillId="6" borderId="35" applyAlignment="1" applyProtection="1" pivotButton="0" quotePrefix="0" xfId="2">
      <alignment horizontal="center"/>
      <protection locked="1" hidden="1"/>
    </xf>
    <xf numFmtId="0" fontId="2" fillId="0" borderId="8" applyProtection="1" pivotButton="0" quotePrefix="0" xfId="0">
      <protection locked="1" hidden="1"/>
    </xf>
    <xf numFmtId="167" fontId="0" fillId="6" borderId="36" applyAlignment="1" applyProtection="1" pivotButton="0" quotePrefix="0" xfId="3">
      <alignment horizontal="center"/>
      <protection locked="1" hidden="1"/>
    </xf>
    <xf numFmtId="166" fontId="0" fillId="0" borderId="0" applyProtection="1" pivotButton="0" quotePrefix="0" xfId="0">
      <protection locked="1" hidden="1"/>
    </xf>
    <xf numFmtId="169" fontId="0" fillId="6" borderId="10" applyAlignment="1" applyProtection="1" pivotButton="0" quotePrefix="0" xfId="2">
      <alignment horizontal="center"/>
      <protection locked="1" hidden="1"/>
    </xf>
    <xf numFmtId="0" fontId="44" fillId="0" borderId="0" applyProtection="1" pivotButton="0" quotePrefix="0" xfId="0">
      <protection locked="1" hidden="1"/>
    </xf>
    <xf numFmtId="170" fontId="0" fillId="0" borderId="0" applyProtection="1" pivotButton="0" quotePrefix="0" xfId="2">
      <protection locked="1" hidden="1"/>
    </xf>
    <xf numFmtId="0" fontId="30" fillId="16" borderId="0" applyProtection="1" pivotButton="0" quotePrefix="0" xfId="0">
      <protection locked="1" hidden="1"/>
    </xf>
    <xf numFmtId="0" fontId="19" fillId="16" borderId="0" applyProtection="1" pivotButton="0" quotePrefix="0" xfId="0">
      <protection locked="1" hidden="1"/>
    </xf>
    <xf numFmtId="0" fontId="22" fillId="16" borderId="0" applyProtection="1" pivotButton="0" quotePrefix="0" xfId="0">
      <protection locked="1" hidden="1"/>
    </xf>
    <xf numFmtId="0" fontId="16" fillId="0" borderId="0" applyProtection="1" pivotButton="0" quotePrefix="0" xfId="0">
      <protection locked="1" hidden="1"/>
    </xf>
    <xf numFmtId="3" fontId="0" fillId="6" borderId="7" applyAlignment="1" applyProtection="1" pivotButton="0" quotePrefix="0" xfId="2">
      <alignment horizontal="center" vertical="center"/>
      <protection locked="1" hidden="1"/>
    </xf>
    <xf numFmtId="3" fontId="0" fillId="0" borderId="0" applyProtection="1" pivotButton="0" quotePrefix="0" xfId="0">
      <protection locked="1" hidden="1"/>
    </xf>
    <xf numFmtId="0" fontId="30" fillId="13" borderId="0" applyProtection="1" pivotButton="0" quotePrefix="0" xfId="0">
      <protection locked="1" hidden="1"/>
    </xf>
    <xf numFmtId="3" fontId="0" fillId="2" borderId="7" applyAlignment="1" applyProtection="1" pivotButton="0" quotePrefix="0" xfId="2">
      <alignment horizontal="center" vertical="center"/>
      <protection locked="0" hidden="1"/>
    </xf>
    <xf numFmtId="9" fontId="0" fillId="2" borderId="7" applyAlignment="1" applyProtection="1" pivotButton="0" quotePrefix="0" xfId="3">
      <alignment horizontal="center" vertical="center"/>
      <protection locked="0" hidden="1"/>
    </xf>
    <xf numFmtId="43" fontId="0" fillId="0" borderId="0" applyProtection="1" pivotButton="0" quotePrefix="0" xfId="0">
      <protection locked="1" hidden="1"/>
    </xf>
    <xf numFmtId="170" fontId="0" fillId="0" borderId="0" applyProtection="1" pivotButton="0" quotePrefix="0" xfId="0">
      <protection locked="1" hidden="1"/>
    </xf>
    <xf numFmtId="0" fontId="23" fillId="0" borderId="0" applyAlignment="1" applyProtection="1" pivotButton="0" quotePrefix="0" xfId="0">
      <alignment horizontal="left" indent="10"/>
      <protection locked="1" hidden="1"/>
    </xf>
    <xf numFmtId="0" fontId="0" fillId="0" borderId="0" applyAlignment="1" applyProtection="1" pivotButton="0" quotePrefix="0" xfId="0">
      <alignment horizontal="left" indent="2"/>
      <protection locked="1" hidden="1"/>
    </xf>
    <xf numFmtId="0" fontId="24" fillId="5" borderId="0" applyAlignment="1" applyProtection="1" pivotButton="0" quotePrefix="0" xfId="0">
      <alignment horizontal="left" vertical="top"/>
      <protection locked="1" hidden="1"/>
    </xf>
    <xf numFmtId="0" fontId="4" fillId="0" borderId="0" applyProtection="1" pivotButton="0" quotePrefix="0" xfId="1">
      <protection locked="1" hidden="1"/>
    </xf>
    <xf numFmtId="0" fontId="0" fillId="4" borderId="1" applyProtection="1" pivotButton="0" quotePrefix="0" xfId="0">
      <protection locked="1" hidden="1"/>
    </xf>
    <xf numFmtId="0" fontId="34" fillId="4" borderId="32" applyAlignment="1" applyProtection="1" pivotButton="0" quotePrefix="0" xfId="0">
      <alignment horizontal="left" vertical="center" indent="5"/>
      <protection locked="1" hidden="1"/>
    </xf>
    <xf numFmtId="0" fontId="0" fillId="4" borderId="32" applyProtection="1" pivotButton="0" quotePrefix="0" xfId="0">
      <protection locked="1" hidden="1"/>
    </xf>
    <xf numFmtId="0" fontId="0" fillId="4" borderId="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3" fontId="0" fillId="9" borderId="7" applyAlignment="1" applyProtection="1" pivotButton="0" quotePrefix="0" xfId="0">
      <alignment horizontal="center"/>
      <protection locked="1" hidden="1"/>
    </xf>
    <xf numFmtId="0" fontId="0" fillId="0" borderId="5" applyProtection="1" pivotButton="0" quotePrefix="0" xfId="0">
      <protection locked="1" hidden="1"/>
    </xf>
    <xf numFmtId="0" fontId="0" fillId="0" borderId="12" applyProtection="1" pivotButton="0" quotePrefix="0" xfId="0">
      <protection locked="1" hidden="1"/>
    </xf>
    <xf numFmtId="0" fontId="0" fillId="0" borderId="12" applyAlignment="1" applyProtection="1" pivotButton="0" quotePrefix="0" xfId="0">
      <alignment horizontal="center"/>
      <protection locked="1" hidden="1"/>
    </xf>
    <xf numFmtId="0" fontId="0" fillId="0" borderId="6" applyProtection="1" pivotButton="0" quotePrefix="0" xfId="0">
      <protection locked="1" hidden="1"/>
    </xf>
    <xf numFmtId="0" fontId="31" fillId="4" borderId="32" applyAlignment="1" applyProtection="1" pivotButton="0" quotePrefix="0" xfId="0">
      <alignment horizontal="left" vertical="center"/>
      <protection locked="1" hidden="1"/>
    </xf>
    <xf numFmtId="0" fontId="24" fillId="15" borderId="0" applyProtection="1" pivotButton="0" quotePrefix="0" xfId="0">
      <protection locked="1" hidden="1"/>
    </xf>
    <xf numFmtId="0" fontId="2" fillId="0" borderId="9" applyAlignment="1" applyProtection="1" pivotButton="0" quotePrefix="0" xfId="0">
      <alignment horizontal="left"/>
      <protection locked="1" hidden="1"/>
    </xf>
    <xf numFmtId="0" fontId="0" fillId="14" borderId="0" applyProtection="1" pivotButton="0" quotePrefix="0" xfId="0">
      <protection locked="1" hidden="1"/>
    </xf>
    <xf numFmtId="9" fontId="0" fillId="2" borderId="7" applyAlignment="1" applyProtection="1" pivotButton="0" quotePrefix="0" xfId="3">
      <alignment horizontal="center"/>
      <protection locked="0" hidden="1"/>
    </xf>
    <xf numFmtId="0" fontId="4" fillId="8" borderId="22" applyAlignment="1" applyProtection="1" pivotButton="0" quotePrefix="0" xfId="1">
      <alignment vertical="center"/>
      <protection locked="1" hidden="1"/>
    </xf>
    <xf numFmtId="0" fontId="4" fillId="14" borderId="0" applyProtection="1" pivotButton="0" quotePrefix="0" xfId="1">
      <protection locked="1" hidden="1"/>
    </xf>
    <xf numFmtId="0" fontId="0" fillId="0" borderId="17" applyProtection="1" pivotButton="0" quotePrefix="0" xfId="0">
      <protection locked="1" hidden="1"/>
    </xf>
    <xf numFmtId="171" fontId="17" fillId="8" borderId="13" applyAlignment="1" applyProtection="1" pivotButton="0" quotePrefix="0" xfId="4">
      <alignment horizontal="center" vertical="center"/>
      <protection locked="0" hidden="1"/>
    </xf>
    <xf numFmtId="0" fontId="41" fillId="0" borderId="0" applyProtection="1" pivotButton="0" quotePrefix="0" xfId="0">
      <protection locked="1" hidden="1"/>
    </xf>
    <xf numFmtId="0" fontId="31" fillId="4" borderId="1" applyProtection="1" pivotButton="0" quotePrefix="0" xfId="0">
      <protection locked="1" hidden="1"/>
    </xf>
    <xf numFmtId="0" fontId="31" fillId="4" borderId="32" applyProtection="1" pivotButton="0" quotePrefix="0" xfId="0">
      <protection locked="1" hidden="1"/>
    </xf>
    <xf numFmtId="0" fontId="4" fillId="4" borderId="32" applyProtection="1" pivotButton="0" quotePrefix="0" xfId="1">
      <protection locked="1" hidden="1"/>
    </xf>
    <xf numFmtId="0" fontId="4" fillId="4" borderId="2" applyProtection="1" pivotButton="0" quotePrefix="0" xfId="1">
      <protection locked="1" hidden="1"/>
    </xf>
    <xf numFmtId="0" fontId="24" fillId="5" borderId="0" applyProtection="1" pivotButton="0" quotePrefix="0" xfId="0">
      <protection locked="1" hidden="1"/>
    </xf>
    <xf numFmtId="0" fontId="0" fillId="2" borderId="7" applyAlignment="1" applyProtection="1" pivotButton="0" quotePrefix="0" xfId="0">
      <alignment horizontal="center" vertical="center"/>
      <protection locked="0" hidden="1"/>
    </xf>
    <xf numFmtId="0" fontId="0" fillId="8" borderId="22" applyAlignment="1" applyProtection="1" pivotButton="0" quotePrefix="0" xfId="0">
      <alignment vertical="center"/>
      <protection locked="1" hidden="1"/>
    </xf>
    <xf numFmtId="0" fontId="1" fillId="0" borderId="0" applyProtection="1" pivotButton="0" quotePrefix="0" xfId="0">
      <protection locked="1" hidden="1"/>
    </xf>
    <xf numFmtId="0" fontId="0" fillId="14" borderId="16" applyAlignment="1" applyProtection="1" pivotButton="0" quotePrefix="0" xfId="0">
      <alignment horizontal="left" vertical="top"/>
      <protection locked="1" hidden="1"/>
    </xf>
    <xf numFmtId="0" fontId="0" fillId="14" borderId="0" applyAlignment="1" applyProtection="1" pivotButton="0" quotePrefix="0" xfId="0">
      <alignment horizontal="left" vertical="top"/>
      <protection locked="1" hidden="1"/>
    </xf>
    <xf numFmtId="0" fontId="4" fillId="0" borderId="0" applyProtection="1" pivotButton="0" quotePrefix="0" xfId="1">
      <protection locked="1" hidden="1"/>
    </xf>
    <xf numFmtId="0" fontId="32" fillId="0" borderId="0" applyProtection="1" pivotButton="0" quotePrefix="0" xfId="0">
      <protection locked="1" hidden="1"/>
    </xf>
    <xf numFmtId="9" fontId="33" fillId="0" borderId="0" applyAlignment="1" applyProtection="1" pivotButton="0" quotePrefix="0" xfId="3">
      <alignment horizontal="left"/>
      <protection locked="1" hidden="1"/>
    </xf>
    <xf numFmtId="164" fontId="32" fillId="9" borderId="7" applyAlignment="1" applyProtection="1" pivotButton="0" quotePrefix="0" xfId="0">
      <alignment horizontal="center"/>
      <protection locked="1" hidden="1"/>
    </xf>
    <xf numFmtId="0" fontId="2" fillId="6" borderId="0" applyProtection="1" pivotButton="0" quotePrefix="0" xfId="0">
      <protection locked="1" hidden="1"/>
    </xf>
    <xf numFmtId="0" fontId="38" fillId="6" borderId="0" applyProtection="1" pivotButton="0" quotePrefix="0" xfId="0">
      <protection locked="1" hidden="1"/>
    </xf>
    <xf numFmtId="0" fontId="4" fillId="6" borderId="0" applyAlignment="1" applyProtection="1" pivotButton="0" quotePrefix="0" xfId="1">
      <alignment horizontal="left" indent="2"/>
      <protection locked="1" hidden="1"/>
    </xf>
    <xf numFmtId="0" fontId="4" fillId="6" borderId="0" applyProtection="1" pivotButton="0" quotePrefix="0" xfId="1">
      <protection locked="1" hidden="1"/>
    </xf>
    <xf numFmtId="0" fontId="2" fillId="0" borderId="1" applyProtection="1" pivotButton="0" quotePrefix="0" xfId="0">
      <protection locked="1" hidden="1"/>
    </xf>
    <xf numFmtId="0" fontId="0" fillId="0" borderId="32" applyProtection="1" pivotButton="0" quotePrefix="0" xfId="0">
      <protection locked="1" hidden="1"/>
    </xf>
    <xf numFmtId="0" fontId="0" fillId="0" borderId="2" applyProtection="1" pivotButton="0" quotePrefix="0" xfId="0">
      <protection locked="1" hidden="1"/>
    </xf>
    <xf numFmtId="0" fontId="2" fillId="0" borderId="3" applyProtection="1" pivotButton="0" quotePrefix="0" xfId="0">
      <protection locked="1" hidden="1"/>
    </xf>
    <xf numFmtId="0" fontId="2" fillId="0" borderId="9" applyAlignment="1" applyProtection="1" pivotButton="0" quotePrefix="0" xfId="0">
      <alignment horizontal="center" wrapText="1"/>
      <protection locked="1" hidden="1"/>
    </xf>
    <xf numFmtId="0" fontId="0" fillId="2" borderId="7" applyAlignment="1" applyProtection="1" pivotButton="0" quotePrefix="0" xfId="0">
      <alignment horizontal="center"/>
      <protection locked="0" hidden="1"/>
    </xf>
    <xf numFmtId="166" fontId="3" fillId="2" borderId="7" applyAlignment="1" applyProtection="1" pivotButton="0" quotePrefix="0" xfId="0">
      <alignment horizontal="center"/>
      <protection locked="0" hidden="1"/>
    </xf>
    <xf numFmtId="0" fontId="2" fillId="0" borderId="5" applyProtection="1" pivotButton="0" quotePrefix="0" xfId="0">
      <protection locked="1" hidden="1"/>
    </xf>
    <xf numFmtId="0" fontId="46" fillId="0" borderId="0" applyProtection="1" pivotButton="0" quotePrefix="0" xfId="0">
      <protection locked="1" hidden="1"/>
    </xf>
    <xf numFmtId="0" fontId="31" fillId="0" borderId="0" applyProtection="1" pivotButton="0" quotePrefix="0" xfId="0">
      <protection locked="1" hidden="1"/>
    </xf>
    <xf numFmtId="0" fontId="4" fillId="0" borderId="0" applyProtection="1" pivotButton="0" quotePrefix="0" xfId="1">
      <protection locked="1" hidden="1"/>
    </xf>
    <xf numFmtId="0" fontId="2" fillId="0" borderId="0" applyAlignment="1" applyProtection="1" pivotButton="0" quotePrefix="0" xfId="0">
      <alignment wrapText="1"/>
      <protection locked="1" hidden="1"/>
    </xf>
    <xf numFmtId="164" fontId="0" fillId="12" borderId="31" applyAlignment="1" applyProtection="1" pivotButton="0" quotePrefix="0" xfId="0">
      <alignment horizontal="center" vertical="center"/>
      <protection locked="1" hidden="1"/>
    </xf>
    <xf numFmtId="1" fontId="0" fillId="9" borderId="7" applyAlignment="1" applyProtection="1" pivotButton="0" quotePrefix="0" xfId="0">
      <alignment horizontal="center" vertical="center"/>
      <protection locked="1" hidden="1"/>
    </xf>
    <xf numFmtId="0" fontId="0" fillId="0" borderId="0" applyAlignment="1" applyProtection="1" pivotButton="0" quotePrefix="0" xfId="0">
      <alignment horizontal="left" vertical="center"/>
      <protection locked="1" hidden="1"/>
    </xf>
    <xf numFmtId="9" fontId="0" fillId="6" borderId="7" applyAlignment="1" applyProtection="1" pivotButton="0" quotePrefix="0" xfId="3">
      <alignment horizontal="center" vertical="center"/>
      <protection locked="1" hidden="1"/>
    </xf>
    <xf numFmtId="0" fontId="20" fillId="0" borderId="0" applyAlignment="1" applyProtection="1" pivotButton="0" quotePrefix="0" xfId="0">
      <alignment horizontal="left"/>
      <protection locked="1" hidden="1"/>
    </xf>
    <xf numFmtId="0" fontId="2" fillId="0" borderId="12" applyProtection="1" pivotButton="0" quotePrefix="0" xfId="0">
      <protection locked="1" hidden="1"/>
    </xf>
    <xf numFmtId="0" fontId="4" fillId="0" borderId="12" applyProtection="1" pivotButton="0" quotePrefix="0" xfId="1">
      <protection locked="1" hidden="1"/>
    </xf>
    <xf numFmtId="0" fontId="24" fillId="0" borderId="0" applyProtection="1" pivotButton="0" quotePrefix="0" xfId="0">
      <protection locked="1" hidden="1"/>
    </xf>
    <xf numFmtId="0" fontId="2" fillId="4" borderId="9" applyAlignment="1" applyProtection="1" pivotButton="0" quotePrefix="0" xfId="0">
      <alignment horizontal="left"/>
      <protection locked="1" hidden="1"/>
    </xf>
    <xf numFmtId="0" fontId="2" fillId="4" borderId="9" applyAlignment="1" applyProtection="1" pivotButton="0" quotePrefix="0" xfId="0">
      <alignment horizontal="center"/>
      <protection locked="1" hidden="1"/>
    </xf>
    <xf numFmtId="0" fontId="24" fillId="5" borderId="9" applyProtection="1" pivotButton="0" quotePrefix="0" xfId="0">
      <protection locked="1" hidden="1"/>
    </xf>
    <xf numFmtId="171" fontId="17" fillId="8" borderId="13" applyAlignment="1" applyProtection="1" pivotButton="0" quotePrefix="0" xfId="4">
      <alignment horizontal="left" vertical="center"/>
      <protection locked="0" hidden="1"/>
    </xf>
    <xf numFmtId="1" fontId="0" fillId="2" borderId="7" applyAlignment="1" applyProtection="1" pivotButton="0" quotePrefix="0" xfId="0">
      <alignment horizontal="center"/>
      <protection locked="0" hidden="1"/>
    </xf>
    <xf numFmtId="0" fontId="0" fillId="14" borderId="31" applyAlignment="1" applyProtection="1" pivotButton="0" quotePrefix="0" xfId="0">
      <alignment horizontal="left" vertical="top"/>
      <protection locked="1" hidden="1"/>
    </xf>
    <xf numFmtId="0" fontId="0" fillId="14" borderId="33" applyAlignment="1" applyProtection="1" pivotButton="0" quotePrefix="0" xfId="0">
      <alignment horizontal="left" vertical="top"/>
      <protection locked="1" hidden="1"/>
    </xf>
    <xf numFmtId="0" fontId="0" fillId="14" borderId="28" applyAlignment="1" applyProtection="1" pivotButton="0" quotePrefix="0" xfId="0">
      <alignment horizontal="left" vertical="top"/>
      <protection locked="1" hidden="1"/>
    </xf>
    <xf numFmtId="0" fontId="23" fillId="0" borderId="0" applyAlignment="1" applyProtection="1" pivotButton="0" quotePrefix="0" xfId="0">
      <alignment horizontal="left"/>
      <protection locked="1" hidden="1"/>
    </xf>
    <xf numFmtId="0" fontId="0" fillId="0" borderId="11" applyAlignment="1" applyProtection="1" pivotButton="0" quotePrefix="0" xfId="0">
      <alignment horizontal="center"/>
      <protection locked="1" hidden="1"/>
    </xf>
    <xf numFmtId="0" fontId="0" fillId="0" borderId="1" applyProtection="1" pivotButton="0" quotePrefix="0" xfId="0">
      <protection locked="1" hidden="1"/>
    </xf>
    <xf numFmtId="0" fontId="2" fillId="4" borderId="0" applyAlignment="1" applyProtection="1" pivotButton="0" quotePrefix="0" xfId="0">
      <alignment horizontal="center"/>
      <protection locked="1" hidden="1"/>
    </xf>
    <xf numFmtId="0" fontId="0" fillId="4" borderId="0" applyProtection="1" pivotButton="0" quotePrefix="0" xfId="0">
      <protection locked="1" hidden="1"/>
    </xf>
    <xf numFmtId="0" fontId="2" fillId="4" borderId="11" applyAlignment="1" applyProtection="1" pivotButton="0" quotePrefix="0" xfId="0">
      <alignment horizontal="center" wrapText="1"/>
      <protection locked="1" hidden="1"/>
    </xf>
    <xf numFmtId="0" fontId="0" fillId="2" borderId="7" applyProtection="1" pivotButton="0" quotePrefix="0" xfId="0">
      <protection locked="0" hidden="1"/>
    </xf>
    <xf numFmtId="3" fontId="0" fillId="2" borderId="7" applyAlignment="1" applyProtection="1" pivotButton="0" quotePrefix="0" xfId="0">
      <alignment horizontal="center"/>
      <protection locked="0" hidden="1"/>
    </xf>
    <xf numFmtId="3" fontId="0" fillId="0" borderId="11" applyAlignment="1" applyProtection="1" pivotButton="0" quotePrefix="0" xfId="0">
      <alignment horizontal="center"/>
      <protection locked="1" hidden="1"/>
    </xf>
    <xf numFmtId="0" fontId="0" fillId="0" borderId="4" applyAlignment="1" applyProtection="1" pivotButton="0" quotePrefix="0" xfId="0">
      <alignment horizontal="center"/>
      <protection locked="1" hidden="1"/>
    </xf>
    <xf numFmtId="0" fontId="0" fillId="0" borderId="14" applyProtection="1" pivotButton="0" quotePrefix="0" xfId="0">
      <protection locked="1" hidden="1"/>
    </xf>
    <xf numFmtId="164" fontId="0" fillId="9" borderId="35"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164" fontId="0" fillId="9" borderId="36" applyAlignment="1" applyProtection="1" pivotButton="0" quotePrefix="0" xfId="0">
      <alignment horizontal="center"/>
      <protection locked="1" hidden="1"/>
    </xf>
    <xf numFmtId="164" fontId="0" fillId="9" borderId="7" applyAlignment="1" applyProtection="1" pivotButton="0" quotePrefix="0" xfId="0">
      <alignment horizontal="center"/>
      <protection locked="1" hidden="1"/>
    </xf>
    <xf numFmtId="172" fontId="0" fillId="9" borderId="7" applyAlignment="1" applyProtection="1" pivotButton="0" quotePrefix="0" xfId="0">
      <alignment horizontal="center"/>
      <protection locked="1" hidden="1"/>
    </xf>
    <xf numFmtId="164" fontId="0" fillId="0" borderId="0" applyAlignment="1" applyProtection="1" pivotButton="0" quotePrefix="0" xfId="0">
      <alignment horizontal="center"/>
      <protection locked="1" hidden="1"/>
    </xf>
    <xf numFmtId="0" fontId="6" fillId="0" borderId="0" applyAlignment="1" applyProtection="1" pivotButton="0" quotePrefix="0" xfId="0">
      <alignment horizontal="right"/>
      <protection locked="1" hidden="1"/>
    </xf>
    <xf numFmtId="164" fontId="0" fillId="12" borderId="7" applyAlignment="1" applyProtection="1" pivotButton="0" quotePrefix="0" xfId="0">
      <alignment horizontal="center"/>
      <protection locked="1" hidden="1"/>
    </xf>
    <xf numFmtId="0" fontId="0" fillId="0" borderId="0" applyAlignment="1" applyProtection="1" pivotButton="0" quotePrefix="0" xfId="0">
      <alignment horizontal="center" vertical="center"/>
      <protection locked="1" hidden="1"/>
    </xf>
    <xf numFmtId="9" fontId="6" fillId="12" borderId="31" applyAlignment="1" applyProtection="1" pivotButton="0" quotePrefix="0" xfId="3">
      <alignment horizontal="center" vertical="center"/>
      <protection locked="1" hidden="1"/>
    </xf>
    <xf numFmtId="9" fontId="14" fillId="9" borderId="7" applyAlignment="1" applyProtection="1" pivotButton="0" quotePrefix="0" xfId="3">
      <alignment horizontal="center" vertical="center"/>
      <protection locked="1" hidden="1"/>
    </xf>
    <xf numFmtId="0" fontId="2" fillId="0" borderId="9" applyAlignment="1" applyProtection="1" pivotButton="0" quotePrefix="0" xfId="0">
      <alignment horizontal="center" vertical="center" wrapText="1"/>
      <protection locked="1" hidden="1"/>
    </xf>
    <xf numFmtId="164" fontId="0" fillId="9" borderId="7" applyAlignment="1" applyProtection="1" pivotButton="0" quotePrefix="0" xfId="2">
      <alignment horizontal="center"/>
      <protection locked="1" hidden="1"/>
    </xf>
    <xf numFmtId="164" fontId="2" fillId="9" borderId="7" applyAlignment="1" applyProtection="1" pivotButton="0" quotePrefix="0" xfId="0">
      <alignment horizontal="center"/>
      <protection locked="1" hidden="1"/>
    </xf>
    <xf numFmtId="9" fontId="0" fillId="12" borderId="7" applyAlignment="1" applyProtection="1" pivotButton="0" quotePrefix="0" xfId="0">
      <alignment horizontal="center"/>
      <protection locked="1" hidden="1"/>
    </xf>
    <xf numFmtId="0" fontId="23" fillId="0" borderId="0" applyAlignment="1" applyProtection="1" pivotButton="0" quotePrefix="0" xfId="0">
      <alignment horizontal="left" indent="9"/>
      <protection locked="1" hidden="1"/>
    </xf>
    <xf numFmtId="0" fontId="18" fillId="10" borderId="31" applyAlignment="1" applyProtection="1" pivotButton="0" quotePrefix="0" xfId="0">
      <alignment horizontal="left" vertical="center"/>
      <protection locked="1" hidden="1"/>
    </xf>
    <xf numFmtId="0" fontId="18" fillId="10" borderId="33" applyAlignment="1" applyProtection="1" pivotButton="0" quotePrefix="0" xfId="0">
      <alignment horizontal="left" vertical="center"/>
      <protection locked="1" hidden="1"/>
    </xf>
    <xf numFmtId="0" fontId="2" fillId="4" borderId="7" applyAlignment="1" applyProtection="1" pivotButton="0" quotePrefix="0" xfId="0">
      <alignment horizontal="center" vertical="center"/>
      <protection locked="1" hidden="1"/>
    </xf>
    <xf numFmtId="171" fontId="17" fillId="8" borderId="34" applyAlignment="1" applyProtection="1" pivotButton="0" quotePrefix="0" xfId="4">
      <alignment horizontal="center" vertical="center"/>
      <protection locked="0" hidden="1"/>
    </xf>
    <xf numFmtId="0" fontId="0" fillId="14" borderId="18" applyAlignment="1" applyProtection="1" pivotButton="0" quotePrefix="0" xfId="0">
      <alignment vertical="center" wrapText="1"/>
      <protection locked="1" hidden="1"/>
    </xf>
    <xf numFmtId="164" fontId="0" fillId="0" borderId="0" applyAlignment="1" applyProtection="1" pivotButton="0" quotePrefix="0" xfId="2">
      <alignment horizontal="center"/>
      <protection locked="1" hidden="1"/>
    </xf>
    <xf numFmtId="164" fontId="0" fillId="0" borderId="0" applyAlignment="1" applyProtection="1" pivotButton="0" quotePrefix="0" xfId="2">
      <alignment horizontal="center"/>
      <protection locked="1" hidden="1"/>
    </xf>
    <xf numFmtId="0" fontId="4" fillId="6" borderId="0" applyProtection="1" pivotButton="0" quotePrefix="0" xfId="1">
      <protection locked="1" hidden="1"/>
    </xf>
    <xf numFmtId="168" fontId="0" fillId="0" borderId="0" applyProtection="1" pivotButton="0" quotePrefix="0" xfId="2">
      <protection locked="1" hidden="1"/>
    </xf>
    <xf numFmtId="2" fontId="0" fillId="0" borderId="0" applyProtection="1" pivotButton="0" quotePrefix="0" xfId="0">
      <protection locked="1" hidden="1"/>
    </xf>
    <xf numFmtId="0" fontId="2" fillId="12" borderId="31" applyAlignment="1" applyProtection="1" pivotButton="0" quotePrefix="0" xfId="0">
      <alignment horizontal="left"/>
      <protection locked="1" hidden="1"/>
    </xf>
    <xf numFmtId="0" fontId="2" fillId="12" borderId="33" applyAlignment="1" applyProtection="1" pivotButton="0" quotePrefix="0" xfId="0">
      <alignment horizontal="center" vertical="center" wrapText="1"/>
      <protection locked="1" hidden="1"/>
    </xf>
    <xf numFmtId="0" fontId="2" fillId="12" borderId="28" applyAlignment="1" applyProtection="1" pivotButton="0" quotePrefix="0" xfId="0">
      <alignment horizontal="center" vertical="center" wrapText="1"/>
      <protection locked="1" hidden="1"/>
    </xf>
    <xf numFmtId="0" fontId="0" fillId="0" borderId="0" applyAlignment="1" applyProtection="1" pivotButton="0" quotePrefix="0" xfId="0">
      <alignment horizontal="left" indent="1"/>
      <protection locked="1" hidden="1"/>
    </xf>
    <xf numFmtId="164" fontId="0" fillId="6" borderId="7" applyAlignment="1" applyProtection="1" pivotButton="0" quotePrefix="0" xfId="2">
      <alignment horizontal="center" vertical="center"/>
      <protection locked="1" hidden="1"/>
    </xf>
    <xf numFmtId="0" fontId="0" fillId="6" borderId="7" applyAlignment="1" applyProtection="1" pivotButton="0" quotePrefix="0" xfId="0">
      <alignment horizontal="center"/>
      <protection locked="1" hidden="1"/>
    </xf>
    <xf numFmtId="0" fontId="0" fillId="0" borderId="7" applyAlignment="1" applyProtection="1" pivotButton="0" quotePrefix="0" xfId="0">
      <alignment horizontal="left" indent="1"/>
      <protection locked="1" hidden="1"/>
    </xf>
    <xf numFmtId="164" fontId="14" fillId="6" borderId="7" applyAlignment="1" applyProtection="1" pivotButton="0" quotePrefix="0" xfId="2">
      <alignment horizontal="center"/>
      <protection locked="1" hidden="1"/>
    </xf>
    <xf numFmtId="0" fontId="0" fillId="0" borderId="9" applyAlignment="1" applyProtection="1" pivotButton="0" quotePrefix="0" xfId="0">
      <alignment horizontal="left" indent="1"/>
      <protection locked="1" hidden="1"/>
    </xf>
    <xf numFmtId="0" fontId="2" fillId="0" borderId="0" applyAlignment="1" applyProtection="1" pivotButton="0" quotePrefix="0" xfId="0">
      <alignment horizontal="right" indent="3"/>
      <protection locked="1" hidden="1"/>
    </xf>
    <xf numFmtId="164" fontId="2" fillId="9" borderId="0" applyAlignment="1" applyProtection="1" pivotButton="0" quotePrefix="0" xfId="2">
      <alignment horizontal="center"/>
      <protection locked="1" hidden="1"/>
    </xf>
    <xf numFmtId="0" fontId="2" fillId="0" borderId="12" applyAlignment="1" applyProtection="1" pivotButton="0" quotePrefix="0" xfId="0">
      <alignment horizontal="left" indent="3"/>
      <protection locked="1" hidden="1"/>
    </xf>
    <xf numFmtId="0" fontId="2" fillId="0" borderId="0" applyAlignment="1" applyProtection="1" pivotButton="0" quotePrefix="0" xfId="0">
      <alignment horizontal="left" indent="3"/>
      <protection locked="1" hidden="1"/>
    </xf>
    <xf numFmtId="168" fontId="0" fillId="0" borderId="0" applyProtection="1" pivotButton="0" quotePrefix="0" xfId="2">
      <protection locked="1" hidden="1"/>
    </xf>
    <xf numFmtId="171" fontId="17" fillId="8" borderId="37" applyAlignment="1" applyProtection="1" pivotButton="0" quotePrefix="0" xfId="4">
      <alignment horizontal="center"/>
      <protection locked="0" hidden="1"/>
    </xf>
    <xf numFmtId="0" fontId="15" fillId="0" borderId="0" applyProtection="1" pivotButton="0" quotePrefix="0" xfId="0">
      <protection locked="1" hidden="1"/>
    </xf>
    <xf numFmtId="0" fontId="0" fillId="14" borderId="18" applyProtection="1" pivotButton="0" quotePrefix="0" xfId="0">
      <protection locked="1" hidden="1"/>
    </xf>
    <xf numFmtId="0" fontId="0" fillId="5" borderId="1" applyProtection="1" pivotButton="0" quotePrefix="0" xfId="0">
      <protection locked="1" hidden="1"/>
    </xf>
    <xf numFmtId="0" fontId="25" fillId="5" borderId="32" applyProtection="1" pivotButton="0" quotePrefix="0" xfId="0">
      <protection locked="1" hidden="1"/>
    </xf>
    <xf numFmtId="0" fontId="0" fillId="5" borderId="32" applyProtection="1" pivotButton="0" quotePrefix="0" xfId="0">
      <protection locked="1" hidden="1"/>
    </xf>
    <xf numFmtId="0" fontId="0" fillId="5" borderId="2" applyProtection="1" pivotButton="0" quotePrefix="0" xfId="0">
      <protection locked="1" hidden="1"/>
    </xf>
    <xf numFmtId="0" fontId="0" fillId="14" borderId="18" applyAlignment="1" applyProtection="1" pivotButton="0" quotePrefix="0" xfId="0">
      <alignment wrapText="1"/>
      <protection locked="1" hidden="1"/>
    </xf>
    <xf numFmtId="0" fontId="26" fillId="0" borderId="30" applyProtection="1" pivotButton="0" quotePrefix="0" xfId="0">
      <protection locked="1" hidden="1"/>
    </xf>
    <xf numFmtId="0" fontId="0" fillId="12" borderId="29" applyAlignment="1" applyProtection="1" pivotButton="0" quotePrefix="0" xfId="0">
      <alignment horizontal="center" vertical="center"/>
      <protection locked="1" hidden="1"/>
    </xf>
    <xf numFmtId="166" fontId="0" fillId="6" borderId="7" applyAlignment="1" applyProtection="1" pivotButton="0" quotePrefix="0" xfId="0">
      <alignment horizontal="center" vertical="center"/>
      <protection locked="1" hidden="1"/>
    </xf>
    <xf numFmtId="0" fontId="26" fillId="0" borderId="31" applyProtection="1" pivotButton="0" quotePrefix="0" xfId="0">
      <protection locked="1" hidden="1"/>
    </xf>
    <xf numFmtId="2" fontId="0" fillId="6" borderId="7" applyAlignment="1" applyProtection="1" pivotButton="0" quotePrefix="0" xfId="0">
      <alignment horizontal="center" vertical="center"/>
      <protection locked="1" hidden="1"/>
    </xf>
    <xf numFmtId="171" fontId="17" fillId="2" borderId="7" applyAlignment="1" applyProtection="1" pivotButton="0" quotePrefix="0" xfId="4">
      <alignment horizontal="center"/>
      <protection locked="0" hidden="1"/>
    </xf>
    <xf numFmtId="0" fontId="4" fillId="15" borderId="0" applyAlignment="1" applyProtection="1" pivotButton="0" quotePrefix="0" xfId="1">
      <alignment horizontal="center"/>
      <protection locked="1" hidden="1"/>
    </xf>
    <xf numFmtId="0" fontId="24" fillId="0" borderId="0" applyAlignment="1" applyProtection="1" pivotButton="0" quotePrefix="0" xfId="0">
      <alignment horizontal="center"/>
      <protection locked="1" hidden="1"/>
    </xf>
    <xf numFmtId="0" fontId="24" fillId="0" borderId="14" applyProtection="1" pivotButton="0" quotePrefix="0" xfId="0">
      <protection locked="1" hidden="1"/>
    </xf>
    <xf numFmtId="2" fontId="24" fillId="6" borderId="35" applyAlignment="1" applyProtection="1" pivotButton="0" quotePrefix="0" xfId="0">
      <alignment horizontal="center"/>
      <protection locked="1" hidden="1"/>
    </xf>
    <xf numFmtId="2" fontId="24" fillId="6" borderId="36" applyAlignment="1" applyProtection="1" pivotButton="0" quotePrefix="0" xfId="0">
      <alignment horizontal="center"/>
      <protection locked="1" hidden="1"/>
    </xf>
    <xf numFmtId="0" fontId="5" fillId="0" borderId="0" applyAlignment="1" applyProtection="1" pivotButton="0" quotePrefix="0" xfId="0">
      <alignment horizontal="center"/>
      <protection locked="1" hidden="1"/>
    </xf>
    <xf numFmtId="0" fontId="24" fillId="0" borderId="0" applyAlignment="1" applyProtection="1" pivotButton="0" quotePrefix="0" xfId="0">
      <alignment vertical="center"/>
      <protection locked="1" hidden="1"/>
    </xf>
    <xf numFmtId="9" fontId="17" fillId="2" borderId="7" applyAlignment="1" applyProtection="1" pivotButton="0" quotePrefix="0" xfId="3">
      <alignment horizontal="center" vertical="center"/>
      <protection locked="0" hidden="1"/>
    </xf>
    <xf numFmtId="167" fontId="0" fillId="6" borderId="18" applyAlignment="1" applyProtection="1" pivotButton="0" quotePrefix="0" xfId="3">
      <alignment horizontal="center" vertical="center"/>
      <protection locked="1" hidden="1"/>
    </xf>
    <xf numFmtId="167" fontId="0" fillId="6" borderId="27" applyAlignment="1" applyProtection="1" pivotButton="0" quotePrefix="0" xfId="3">
      <alignment horizontal="center" vertical="center"/>
      <protection locked="1" hidden="1"/>
    </xf>
    <xf numFmtId="2" fontId="24" fillId="6" borderId="8" applyAlignment="1" applyProtection="1" pivotButton="0" quotePrefix="0" xfId="0">
      <alignment horizontal="center"/>
      <protection locked="1" hidden="1"/>
    </xf>
    <xf numFmtId="2" fontId="24" fillId="6" borderId="10" applyAlignment="1" applyProtection="1" pivotButton="0" quotePrefix="0" xfId="0">
      <alignment horizontal="center"/>
      <protection locked="1" hidden="1"/>
    </xf>
    <xf numFmtId="0" fontId="0" fillId="8" borderId="22" applyProtection="1" pivotButton="0" quotePrefix="0" xfId="0">
      <protection locked="1" hidden="1"/>
    </xf>
    <xf numFmtId="0" fontId="0" fillId="14" borderId="22" applyProtection="1" pivotButton="0" quotePrefix="0" xfId="0">
      <protection locked="1" hidden="1"/>
    </xf>
    <xf numFmtId="0" fontId="4" fillId="8" borderId="22" applyProtection="1" pivotButton="0" quotePrefix="0" xfId="1">
      <protection locked="1" hidden="1"/>
    </xf>
    <xf numFmtId="0" fontId="0" fillId="5" borderId="19" applyProtection="1" pivotButton="0" quotePrefix="0" xfId="0">
      <protection locked="1" hidden="1"/>
    </xf>
    <xf numFmtId="0" fontId="25" fillId="5" borderId="20" applyProtection="1" pivotButton="0" quotePrefix="0" xfId="0">
      <protection locked="1" hidden="1"/>
    </xf>
    <xf numFmtId="0" fontId="0" fillId="5" borderId="20" applyProtection="1" pivotButton="0" quotePrefix="0" xfId="0">
      <protection locked="1" hidden="1"/>
    </xf>
    <xf numFmtId="0" fontId="0" fillId="5" borderId="21" applyProtection="1" pivotButton="0" quotePrefix="0" xfId="0">
      <protection locked="1" hidden="1"/>
    </xf>
    <xf numFmtId="0" fontId="0" fillId="0" borderId="22" applyProtection="1" pivotButton="0" quotePrefix="0" xfId="0">
      <protection locked="1" hidden="1"/>
    </xf>
    <xf numFmtId="0" fontId="0" fillId="0" borderId="23" applyProtection="1" pivotButton="0" quotePrefix="0" xfId="0">
      <protection locked="1" hidden="1"/>
    </xf>
    <xf numFmtId="171" fontId="17" fillId="8" borderId="34" applyAlignment="1" applyProtection="1" pivotButton="0" quotePrefix="0" xfId="4">
      <alignment horizontal="left"/>
      <protection locked="0" hidden="1"/>
    </xf>
    <xf numFmtId="0" fontId="9" fillId="0" borderId="0" applyProtection="1" pivotButton="0" quotePrefix="0" xfId="0">
      <protection locked="1" hidden="1"/>
    </xf>
    <xf numFmtId="166" fontId="0" fillId="6" borderId="7" applyAlignment="1" applyProtection="1" pivotButton="0" quotePrefix="0" xfId="0">
      <alignment horizontal="center"/>
      <protection locked="1" hidden="1"/>
    </xf>
    <xf numFmtId="0" fontId="0" fillId="0" borderId="24" applyProtection="1" pivotButton="0" quotePrefix="0" xfId="0">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3" fontId="8" fillId="6" borderId="0" applyAlignment="1" applyProtection="1" pivotButton="0" quotePrefix="0" xfId="0">
      <alignment horizontal="center"/>
      <protection locked="1" hidden="1"/>
    </xf>
    <xf numFmtId="164" fontId="8" fillId="6" borderId="0" applyAlignment="1" applyProtection="1" pivotButton="0" quotePrefix="0" xfId="0">
      <alignment horizontal="center"/>
      <protection locked="1" hidden="1"/>
    </xf>
    <xf numFmtId="1" fontId="8" fillId="0" borderId="0" applyAlignment="1" applyProtection="1" pivotButton="0" quotePrefix="0" xfId="0">
      <alignment horizontal="center"/>
      <protection locked="1" hidden="1"/>
    </xf>
    <xf numFmtId="0" fontId="10" fillId="0" borderId="0" applyAlignment="1" applyProtection="1" pivotButton="0" quotePrefix="0" xfId="0">
      <alignment wrapText="1"/>
      <protection locked="1" hidden="1"/>
    </xf>
    <xf numFmtId="3" fontId="10" fillId="6" borderId="0" applyAlignment="1" applyProtection="1" pivotButton="0" quotePrefix="0" xfId="0">
      <alignment horizontal="center" vertical="center"/>
      <protection locked="1" hidden="1"/>
    </xf>
    <xf numFmtId="0" fontId="10" fillId="0" borderId="0" applyAlignment="1" applyProtection="1" pivotButton="0" quotePrefix="0" xfId="0">
      <alignment vertical="center"/>
      <protection locked="1" hidden="1"/>
    </xf>
    <xf numFmtId="0" fontId="27" fillId="0" borderId="14" applyAlignment="1" applyProtection="1" pivotButton="0" quotePrefix="0" xfId="0">
      <alignment horizontal="left" vertical="center" wrapText="1" readingOrder="1"/>
      <protection locked="1" hidden="1"/>
    </xf>
    <xf numFmtId="0" fontId="12" fillId="0" borderId="8" applyAlignment="1" applyProtection="1" pivotButton="0" quotePrefix="0" xfId="0">
      <alignment horizontal="left" vertical="center" readingOrder="1"/>
      <protection locked="1" hidden="1"/>
    </xf>
    <xf numFmtId="3" fontId="9" fillId="6" borderId="8" applyAlignment="1" applyProtection="1" pivotButton="0" quotePrefix="0" xfId="0">
      <alignment horizontal="center" vertical="center"/>
      <protection locked="1" hidden="1"/>
    </xf>
    <xf numFmtId="0" fontId="9" fillId="0" borderId="8" applyAlignment="1" applyProtection="1" pivotButton="0" quotePrefix="0" xfId="0">
      <alignment vertical="center"/>
      <protection locked="1" hidden="1"/>
    </xf>
    <xf numFmtId="0" fontId="27" fillId="0" borderId="0" applyProtection="1" pivotButton="0" quotePrefix="0" xfId="0">
      <protection locked="1" hidden="1"/>
    </xf>
    <xf numFmtId="0" fontId="3" fillId="0" borderId="0" applyProtection="1" pivotButton="0" quotePrefix="0" xfId="0">
      <protection locked="1" hidden="1"/>
    </xf>
    <xf numFmtId="1" fontId="8" fillId="6" borderId="0" applyAlignment="1" applyProtection="1" pivotButton="0" quotePrefix="0" xfId="0">
      <alignment horizontal="center"/>
      <protection locked="1" hidden="1"/>
    </xf>
    <xf numFmtId="0" fontId="11" fillId="0" borderId="14" applyAlignment="1" applyProtection="1" pivotButton="0" quotePrefix="0" xfId="0">
      <alignment horizontal="left" vertical="center" wrapText="1" readingOrder="1"/>
      <protection locked="1" hidden="1"/>
    </xf>
    <xf numFmtId="3" fontId="8" fillId="6" borderId="0" applyAlignment="1" applyProtection="1" pivotButton="0" quotePrefix="0" xfId="0">
      <alignment horizontal="center" vertical="center"/>
      <protection locked="1" hidden="1"/>
    </xf>
    <xf numFmtId="0" fontId="8" fillId="0" borderId="0" applyAlignment="1" applyProtection="1" pivotButton="0" quotePrefix="0" xfId="0">
      <alignment vertical="center"/>
      <protection locked="1" hidden="1"/>
    </xf>
    <xf numFmtId="164" fontId="8" fillId="6" borderId="0" applyAlignment="1" applyProtection="1" pivotButton="0" quotePrefix="0" xfId="0">
      <alignment horizontal="center" vertical="center"/>
      <protection locked="1" hidden="1"/>
    </xf>
    <xf numFmtId="0" fontId="8" fillId="0" borderId="0" applyAlignment="1" applyProtection="1" pivotButton="0" quotePrefix="0" xfId="0">
      <alignment wrapText="1"/>
      <protection locked="1" hidden="1"/>
    </xf>
    <xf numFmtId="0" fontId="1" fillId="0" borderId="0" applyAlignment="1" applyProtection="1" pivotButton="0" quotePrefix="0" xfId="0">
      <alignment vertical="center"/>
      <protection locked="1" hidden="1"/>
    </xf>
    <xf numFmtId="1" fontId="8" fillId="6" borderId="0" applyAlignment="1" applyProtection="1" pivotButton="0" quotePrefix="0" xfId="0">
      <alignment horizontal="center" vertical="center"/>
      <protection locked="1" hidden="1"/>
    </xf>
    <xf numFmtId="1" fontId="8" fillId="0" borderId="0" applyAlignment="1" applyProtection="1" pivotButton="0" quotePrefix="0" xfId="0">
      <alignment horizontal="center" vertical="center"/>
      <protection locked="1" hidden="1"/>
    </xf>
    <xf numFmtId="0" fontId="0" fillId="2" borderId="0" applyProtection="1" pivotButton="0" quotePrefix="0" xfId="0">
      <protection locked="1" hidden="1"/>
    </xf>
    <xf numFmtId="0" fontId="0" fillId="2" borderId="0" applyProtection="1" pivotButton="0" quotePrefix="0" xfId="0">
      <protection locked="0" hidden="0"/>
    </xf>
    <xf numFmtId="173" fontId="17" fillId="2" borderId="7" applyAlignment="1" applyProtection="1" pivotButton="0" quotePrefix="0" xfId="4">
      <alignment horizontal="center"/>
      <protection locked="0" hidden="1"/>
    </xf>
    <xf numFmtId="0" fontId="0" fillId="18" borderId="31" applyAlignment="1" pivotButton="0" quotePrefix="0" xfId="0">
      <alignment vertical="center" wrapText="1"/>
    </xf>
    <xf numFmtId="0" fontId="0" fillId="18" borderId="33" applyAlignment="1" pivotButton="0" quotePrefix="0" xfId="0">
      <alignment vertical="center" wrapText="1"/>
    </xf>
    <xf numFmtId="0" fontId="48" fillId="19" borderId="41" pivotButton="0" quotePrefix="0" xfId="0"/>
    <xf numFmtId="2" fontId="0" fillId="0" borderId="4" applyProtection="1" pivotButton="0" quotePrefix="0" xfId="0">
      <protection locked="1" hidden="1"/>
    </xf>
    <xf numFmtId="1" fontId="0" fillId="6" borderId="7" applyAlignment="1" applyProtection="1" pivotButton="0" quotePrefix="0" xfId="0">
      <alignment horizontal="center"/>
      <protection locked="0" hidden="1"/>
    </xf>
    <xf numFmtId="169" fontId="0" fillId="9" borderId="7" applyAlignment="1" applyProtection="1" pivotButton="0" quotePrefix="0" xfId="0">
      <alignment horizontal="center"/>
      <protection locked="1" hidden="1"/>
    </xf>
    <xf numFmtId="0" fontId="2" fillId="0" borderId="9" applyProtection="1" pivotButton="0" quotePrefix="0" xfId="0">
      <protection locked="1" hidden="1"/>
    </xf>
    <xf numFmtId="172" fontId="0" fillId="9" borderId="7" applyAlignment="1" applyProtection="1" pivotButton="0" quotePrefix="0" xfId="2">
      <alignment horizontal="center"/>
      <protection locked="1" hidden="1"/>
    </xf>
    <xf numFmtId="1" fontId="0" fillId="9" borderId="7" applyAlignment="1" applyProtection="1" pivotButton="0" quotePrefix="0" xfId="0">
      <alignment horizontal="center"/>
      <protection locked="1" hidden="1"/>
    </xf>
    <xf numFmtId="1" fontId="0" fillId="12" borderId="7" applyAlignment="1" applyProtection="1" pivotButton="0" quotePrefix="0" xfId="0">
      <alignment horizontal="center"/>
      <protection locked="1" hidden="1"/>
    </xf>
    <xf numFmtId="1" fontId="0" fillId="2" borderId="7" applyAlignment="1" applyProtection="1" pivotButton="0" quotePrefix="0" xfId="0">
      <alignment horizontal="center"/>
      <protection locked="1" hidden="1"/>
    </xf>
    <xf numFmtId="1" fontId="0" fillId="0" borderId="0" applyProtection="1" pivotButton="0" quotePrefix="0" xfId="0">
      <protection locked="1" hidden="1"/>
    </xf>
    <xf numFmtId="0" fontId="49" fillId="0" borderId="7" applyAlignment="1" pivotButton="0" quotePrefix="0" xfId="0">
      <alignment horizontal="left" vertical="center" wrapText="1"/>
    </xf>
    <xf numFmtId="2" fontId="0" fillId="2" borderId="7" applyAlignment="1" applyProtection="1" pivotButton="0" quotePrefix="0" xfId="0">
      <alignment horizontal="center" vertical="center"/>
      <protection locked="0" hidden="1"/>
    </xf>
    <xf numFmtId="9" fontId="0" fillId="0" borderId="0" applyProtection="1" pivotButton="0" quotePrefix="0" xfId="0">
      <protection locked="1" hidden="1"/>
    </xf>
    <xf numFmtId="174" fontId="0" fillId="0" borderId="0" applyProtection="1" pivotButton="0" quotePrefix="0" xfId="0">
      <protection locked="1" hidden="1"/>
    </xf>
    <xf numFmtId="3" fontId="0" fillId="10" borderId="7" applyAlignment="1" applyProtection="1" pivotButton="0" quotePrefix="0" xfId="2">
      <alignment horizontal="center" vertical="center"/>
      <protection locked="1" hidden="1"/>
    </xf>
    <xf numFmtId="4" fontId="50" fillId="0" borderId="0" pivotButton="0" quotePrefix="0" xfId="0"/>
    <xf numFmtId="0" fontId="0" fillId="0" borderId="0" applyAlignment="1" pivotButton="0" quotePrefix="0" xfId="0">
      <alignment vertical="center"/>
    </xf>
    <xf numFmtId="175" fontId="0" fillId="0" borderId="0" pivotButton="0" quotePrefix="0" xfId="0"/>
    <xf numFmtId="3" fontId="0" fillId="2" borderId="7" applyAlignment="1" applyProtection="1" pivotButton="0" quotePrefix="0" xfId="2">
      <alignment horizontal="center" vertical="center"/>
      <protection locked="1" hidden="1"/>
    </xf>
    <xf numFmtId="0" fontId="0" fillId="4" borderId="0" pivotButton="0" quotePrefix="0" xfId="0"/>
    <xf numFmtId="176" fontId="0" fillId="0" borderId="0" applyProtection="1" pivotButton="0" quotePrefix="0" xfId="0">
      <protection locked="1" hidden="1"/>
    </xf>
    <xf numFmtId="0" fontId="2" fillId="0" borderId="14" applyAlignment="1" applyProtection="1" pivotButton="0" quotePrefix="0" xfId="0">
      <alignment horizontal="left" vertical="center"/>
      <protection locked="1" hidden="1"/>
    </xf>
    <xf numFmtId="0" fontId="0" fillId="0" borderId="8" applyAlignment="1" applyProtection="1" pivotButton="0" quotePrefix="0" xfId="0">
      <alignment vertical="center"/>
      <protection locked="1" hidden="1"/>
    </xf>
    <xf numFmtId="3" fontId="0" fillId="6" borderId="10" applyAlignment="1" applyProtection="1" pivotButton="0" quotePrefix="0" xfId="2">
      <alignment horizontal="center" vertical="center"/>
      <protection locked="1" hidden="1"/>
    </xf>
    <xf numFmtId="177" fontId="0" fillId="0" borderId="0" applyProtection="1" pivotButton="0" quotePrefix="0" xfId="0">
      <protection locked="1" hidden="1"/>
    </xf>
    <xf numFmtId="0" fontId="50" fillId="0" borderId="0" pivotButton="0" quotePrefix="0" xfId="0"/>
    <xf numFmtId="0" fontId="0" fillId="8" borderId="0" applyProtection="1" pivotButton="0" quotePrefix="0" xfId="0">
      <protection locked="1" hidden="1"/>
    </xf>
    <xf numFmtId="168" fontId="0" fillId="15" borderId="0" applyAlignment="1" applyProtection="1" pivotButton="0" quotePrefix="0" xfId="2">
      <alignment vertical="center"/>
      <protection locked="1" hidden="1"/>
    </xf>
    <xf numFmtId="0" fontId="2" fillId="12" borderId="0" applyAlignment="1" applyProtection="1" pivotButton="0" quotePrefix="0" xfId="0">
      <alignment wrapText="1"/>
      <protection locked="1" hidden="1"/>
    </xf>
    <xf numFmtId="0" fontId="2" fillId="12" borderId="0" applyAlignment="1" applyProtection="1" pivotButton="0" quotePrefix="0" xfId="0">
      <alignment horizontal="center" wrapText="1"/>
      <protection locked="1" hidden="1"/>
    </xf>
    <xf numFmtId="170" fontId="0" fillId="0" borderId="0" applyAlignment="1" applyProtection="1" pivotButton="0" quotePrefix="0" xfId="2">
      <alignment wrapText="1"/>
      <protection locked="1" hidden="1"/>
    </xf>
    <xf numFmtId="0" fontId="48" fillId="19" borderId="41" applyAlignment="1" pivotButton="0" quotePrefix="0" xfId="0">
      <alignment vertical="center" wrapText="1"/>
    </xf>
    <xf numFmtId="3" fontId="48" fillId="20" borderId="41" applyAlignment="1" pivotButton="0" quotePrefix="0" xfId="0">
      <alignment horizontal="center" vertical="center"/>
    </xf>
    <xf numFmtId="3" fontId="51" fillId="20" borderId="41" applyAlignment="1" pivotButton="0" quotePrefix="0" xfId="0">
      <alignment horizontal="center" vertical="center"/>
    </xf>
    <xf numFmtId="0" fontId="48" fillId="0" borderId="0" pivotButton="0" quotePrefix="0" xfId="0"/>
    <xf numFmtId="3" fontId="48" fillId="19" borderId="41" applyAlignment="1" pivotButton="0" quotePrefix="0" xfId="0">
      <alignment horizontal="center" vertical="center"/>
    </xf>
    <xf numFmtId="3" fontId="48" fillId="19" borderId="41" applyAlignment="1" pivotButton="0" quotePrefix="0" xfId="0">
      <alignment horizontal="center" vertical="center" wrapText="1"/>
    </xf>
    <xf numFmtId="167" fontId="0" fillId="0" borderId="0" pivotButton="0" quotePrefix="0" xfId="3"/>
    <xf numFmtId="168" fontId="2" fillId="0" borderId="0" applyProtection="1" pivotButton="0" quotePrefix="0" xfId="0">
      <protection locked="1" hidden="1"/>
    </xf>
    <xf numFmtId="0" fontId="0" fillId="0" borderId="0" applyAlignment="1" pivotButton="0" quotePrefix="0" xfId="0">
      <alignment wrapText="1"/>
    </xf>
    <xf numFmtId="164" fontId="0" fillId="0" borderId="0" pivotButton="0" quotePrefix="0" xfId="0"/>
    <xf numFmtId="1" fontId="0" fillId="2" borderId="7" applyProtection="1" pivotButton="0" quotePrefix="0" xfId="0">
      <protection locked="0" hidden="1"/>
    </xf>
    <xf numFmtId="0" fontId="1" fillId="0" borderId="0" applyAlignment="1" applyProtection="1" pivotButton="0" quotePrefix="0" xfId="0">
      <alignment horizontal="right"/>
      <protection locked="1" hidden="1"/>
    </xf>
    <xf numFmtId="0" fontId="3" fillId="2" borderId="7" applyAlignment="1" applyProtection="1" pivotButton="0" quotePrefix="0" xfId="0">
      <alignment horizontal="center"/>
      <protection locked="0" hidden="1"/>
    </xf>
    <xf numFmtId="0" fontId="3" fillId="0" borderId="4" applyProtection="1" pivotButton="0" quotePrefix="0" xfId="0">
      <protection locked="1" hidden="1"/>
    </xf>
    <xf numFmtId="164" fontId="0" fillId="0" borderId="0" applyProtection="1" pivotButton="0" quotePrefix="0" xfId="0">
      <protection locked="1" hidden="1"/>
    </xf>
    <xf numFmtId="0" fontId="0" fillId="4" borderId="0" applyAlignment="1" applyProtection="1" pivotButton="0" quotePrefix="0" xfId="0">
      <alignment horizontal="right"/>
      <protection locked="1" hidden="1"/>
    </xf>
    <xf numFmtId="178" fontId="0" fillId="0" borderId="0" applyProtection="1" pivotButton="0" quotePrefix="0" xfId="0">
      <protection locked="1" hidden="1"/>
    </xf>
    <xf numFmtId="3" fontId="1" fillId="0" borderId="0" applyProtection="1" pivotButton="0" quotePrefix="0" xfId="0">
      <protection locked="1" hidden="1"/>
    </xf>
    <xf numFmtId="0" fontId="1" fillId="0" borderId="0" pivotButton="0" quotePrefix="0" xfId="0"/>
    <xf numFmtId="1" fontId="0" fillId="18" borderId="33" applyAlignment="1" pivotButton="0" quotePrefix="0" xfId="0">
      <alignment horizontal="center" vertical="center" wrapText="1"/>
    </xf>
    <xf numFmtId="171" fontId="52" fillId="8" borderId="34" applyAlignment="1" applyProtection="1" pivotButton="0" quotePrefix="0" xfId="4">
      <alignment horizontal="center" vertical="center"/>
      <protection locked="0" hidden="1"/>
    </xf>
    <xf numFmtId="0" fontId="0" fillId="0" borderId="0" applyAlignment="1" pivotButton="0" quotePrefix="0" xfId="0">
      <alignment horizontal="left" vertical="center"/>
    </xf>
    <xf numFmtId="1" fontId="0" fillId="18" borderId="33" applyAlignment="1" pivotButton="0" quotePrefix="0" xfId="0">
      <alignment vertical="center" wrapText="1"/>
    </xf>
    <xf numFmtId="1" fontId="0" fillId="6" borderId="0" applyAlignment="1" applyProtection="1" pivotButton="0" quotePrefix="0" xfId="0">
      <alignment horizontal="center"/>
      <protection locked="1" hidden="1"/>
    </xf>
    <xf numFmtId="179" fontId="0" fillId="6" borderId="0" applyProtection="1" pivotButton="0" quotePrefix="0" xfId="2">
      <protection locked="1" hidden="1"/>
    </xf>
    <xf numFmtId="0" fontId="0" fillId="18" borderId="7" applyAlignment="1" applyProtection="1" pivotButton="0" quotePrefix="0" xfId="0">
      <alignment horizontal="center"/>
      <protection locked="1" hidden="1"/>
    </xf>
    <xf numFmtId="180" fontId="0" fillId="6" borderId="0" applyProtection="1" pivotButton="0" quotePrefix="0" xfId="0">
      <protection locked="1" hidden="1"/>
    </xf>
    <xf numFmtId="0" fontId="53" fillId="0" borderId="0" pivotButton="0" quotePrefix="0" xfId="0"/>
    <xf numFmtId="0" fontId="54" fillId="0" borderId="0" pivotButton="0" quotePrefix="0" xfId="0"/>
    <xf numFmtId="0" fontId="55" fillId="0" borderId="0" pivotButton="0" quotePrefix="0" xfId="0"/>
    <xf numFmtId="0" fontId="56" fillId="21" borderId="0" pivotButton="0" quotePrefix="0" xfId="0"/>
    <xf numFmtId="0" fontId="48" fillId="0" borderId="7" pivotButton="0" quotePrefix="0" xfId="0"/>
    <xf numFmtId="0" fontId="48" fillId="22" borderId="42" pivotButton="0" quotePrefix="0" xfId="0"/>
    <xf numFmtId="0" fontId="57" fillId="0" borderId="7" pivotButton="0" quotePrefix="0" xfId="1"/>
    <xf numFmtId="0" fontId="57" fillId="0" borderId="7" applyAlignment="1" pivotButton="0" quotePrefix="0" xfId="1">
      <alignment horizontal="left" indent="1"/>
    </xf>
    <xf numFmtId="0" fontId="57" fillId="0" borderId="7" applyAlignment="1" pivotButton="0" quotePrefix="0" xfId="1">
      <alignment horizontal="left"/>
    </xf>
    <xf numFmtId="171" fontId="58" fillId="23" borderId="7" applyAlignment="1" pivotButton="0" quotePrefix="0" xfId="4">
      <alignment horizontal="left"/>
    </xf>
    <xf numFmtId="171" fontId="58" fillId="24" borderId="43" applyAlignment="1" pivotButton="0" quotePrefix="0" xfId="4">
      <alignment horizontal="left"/>
    </xf>
    <xf numFmtId="0" fontId="48" fillId="25" borderId="0" pivotButton="0" quotePrefix="0" xfId="0"/>
    <xf numFmtId="0" fontId="48" fillId="26" borderId="0" pivotButton="0" quotePrefix="0" xfId="0"/>
    <xf numFmtId="0" fontId="48" fillId="22" borderId="42" applyAlignment="1" pivotButton="0" quotePrefix="0" xfId="0">
      <alignment vertical="top" wrapText="1"/>
    </xf>
    <xf numFmtId="1" fontId="0" fillId="4" borderId="7" applyAlignment="1" applyProtection="1" pivotButton="0" quotePrefix="0" xfId="0">
      <alignment horizontal="center"/>
      <protection locked="0" hidden="1"/>
    </xf>
    <xf numFmtId="3" fontId="9" fillId="6" borderId="8" applyAlignment="1" applyProtection="1" pivotButton="0" quotePrefix="0" xfId="0">
      <alignment horizontal="left" vertical="center"/>
      <protection locked="1" hidden="1"/>
    </xf>
    <xf numFmtId="0" fontId="2" fillId="0" borderId="0" applyAlignment="1" applyProtection="1" pivotButton="0" quotePrefix="0" xfId="0">
      <alignment horizontal="left" wrapText="1"/>
      <protection locked="1" hidden="1"/>
    </xf>
    <xf numFmtId="0" fontId="2" fillId="0" borderId="16" applyAlignment="1" applyProtection="1" pivotButton="0" quotePrefix="0" xfId="0">
      <alignment horizontal="left" vertical="center" wrapText="1"/>
      <protection locked="1" hidden="1"/>
    </xf>
    <xf numFmtId="0" fontId="2" fillId="0" borderId="0" applyAlignment="1" applyProtection="1" pivotButton="0" quotePrefix="0" xfId="0">
      <alignment horizontal="left" vertical="center" wrapText="1"/>
      <protection locked="1" hidden="1"/>
    </xf>
    <xf numFmtId="0" fontId="6" fillId="0" borderId="16" applyAlignment="1" applyProtection="1" pivotButton="0" quotePrefix="0" xfId="0">
      <alignment horizontal="left"/>
      <protection locked="1" hidden="1"/>
    </xf>
    <xf numFmtId="0" fontId="6" fillId="0" borderId="0" applyAlignment="1" applyProtection="1" pivotButton="0" quotePrefix="0" xfId="0">
      <alignment horizontal="left"/>
      <protection locked="1" hidden="1"/>
    </xf>
    <xf numFmtId="0" fontId="0" fillId="14" borderId="0" applyAlignment="1" applyProtection="1" pivotButton="0" quotePrefix="0" xfId="0">
      <alignment horizontal="left" vertical="top" wrapText="1"/>
      <protection locked="1" hidden="1"/>
    </xf>
    <xf numFmtId="0" fontId="0" fillId="0" borderId="31"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vertical="center" wrapText="1"/>
      <protection locked="1" hidden="1"/>
    </xf>
    <xf numFmtId="0" fontId="0" fillId="14" borderId="39" applyAlignment="1" applyProtection="1" pivotButton="0" quotePrefix="0" xfId="0">
      <alignment horizontal="left" vertical="center" wrapText="1"/>
      <protection locked="1" hidden="1"/>
    </xf>
    <xf numFmtId="0" fontId="0" fillId="14" borderId="40" applyAlignment="1" applyProtection="1" pivotButton="0" quotePrefix="0" xfId="0">
      <alignment horizontal="left" vertical="center" wrapText="1"/>
      <protection locked="1" hidden="1"/>
    </xf>
    <xf numFmtId="0" fontId="2" fillId="11" borderId="7" applyAlignment="1" applyProtection="1" pivotButton="0" quotePrefix="0" xfId="0">
      <alignment horizontal="center" vertical="center"/>
      <protection locked="1" hidden="1"/>
    </xf>
    <xf numFmtId="0" fontId="39" fillId="0" borderId="7" applyAlignment="1" applyProtection="1" pivotButton="0" quotePrefix="0" xfId="0">
      <alignment horizontal="left" vertical="center" wrapText="1" readingOrder="1"/>
      <protection locked="1" hidden="1"/>
    </xf>
    <xf numFmtId="0" fontId="18" fillId="10" borderId="31" applyAlignment="1" applyProtection="1" pivotButton="0" quotePrefix="0" xfId="0">
      <alignment horizontal="left" vertical="center"/>
      <protection locked="1" hidden="1"/>
    </xf>
    <xf numFmtId="0" fontId="18" fillId="10" borderId="33" applyAlignment="1" applyProtection="1" pivotButton="0" quotePrefix="0" xfId="0">
      <alignment horizontal="left" vertical="center"/>
      <protection locked="1" hidden="1"/>
    </xf>
    <xf numFmtId="0" fontId="18" fillId="10" borderId="28" applyAlignment="1" applyProtection="1" pivotButton="0" quotePrefix="0" xfId="0">
      <alignment horizontal="left" vertical="center"/>
      <protection locked="1" hidden="1"/>
    </xf>
    <xf numFmtId="0" fontId="24" fillId="5" borderId="0" applyAlignment="1" applyProtection="1" pivotButton="0" quotePrefix="0" xfId="0">
      <alignment horizontal="left"/>
      <protection locked="1" hidden="1"/>
    </xf>
    <xf numFmtId="0" fontId="9" fillId="14" borderId="0" applyAlignment="1" applyProtection="1" pivotButton="0" quotePrefix="0" xfId="0">
      <alignment horizontal="left" vertical="center" wrapText="1"/>
      <protection locked="1" hidden="1"/>
    </xf>
    <xf numFmtId="0" fontId="9" fillId="6" borderId="0" applyAlignment="1" applyProtection="1" pivotButton="0" quotePrefix="0" xfId="0">
      <alignment horizontal="left" vertical="center" wrapText="1"/>
      <protection locked="1" hidden="1"/>
    </xf>
    <xf numFmtId="0" fontId="2" fillId="10" borderId="7" applyAlignment="1" applyProtection="1" pivotButton="0" quotePrefix="0" xfId="0">
      <alignment horizontal="left"/>
      <protection locked="1" hidden="1"/>
    </xf>
    <xf numFmtId="0" fontId="40" fillId="2" borderId="31" applyAlignment="1" applyProtection="1" pivotButton="0" quotePrefix="0" xfId="0">
      <alignment horizontal="left" vertical="center" wrapText="1" readingOrder="1"/>
      <protection locked="0" hidden="1"/>
    </xf>
    <xf numFmtId="0" fontId="40" fillId="2" borderId="33" applyAlignment="1" applyProtection="1" pivotButton="0" quotePrefix="0" xfId="0">
      <alignment horizontal="left" vertical="center" wrapText="1" readingOrder="1"/>
      <protection locked="0" hidden="1"/>
    </xf>
    <xf numFmtId="0" fontId="40" fillId="2" borderId="28" applyAlignment="1" applyProtection="1" pivotButton="0" quotePrefix="0" xfId="0">
      <alignment horizontal="left" vertical="center" wrapText="1" readingOrder="1"/>
      <protection locked="0" hidden="1"/>
    </xf>
    <xf numFmtId="0" fontId="9" fillId="6" borderId="0" applyAlignment="1" applyProtection="1" pivotButton="0" quotePrefix="0" xfId="0">
      <alignment horizontal="left" vertical="top" wrapText="1"/>
      <protection locked="1" hidden="1"/>
    </xf>
    <xf numFmtId="0" fontId="40" fillId="12" borderId="31" applyAlignment="1" applyProtection="1" pivotButton="0" quotePrefix="0" xfId="0">
      <alignment horizontal="left" vertical="center" wrapText="1" readingOrder="1"/>
      <protection locked="1" hidden="1"/>
    </xf>
    <xf numFmtId="0" fontId="40" fillId="12" borderId="33" applyAlignment="1" applyProtection="1" pivotButton="0" quotePrefix="0" xfId="0">
      <alignment horizontal="left" vertical="center" wrapText="1" readingOrder="1"/>
      <protection locked="1" hidden="1"/>
    </xf>
    <xf numFmtId="0" fontId="40" fillId="12" borderId="28" applyAlignment="1" applyProtection="1" pivotButton="0" quotePrefix="0" xfId="0">
      <alignment horizontal="left" vertical="center" wrapText="1" readingOrder="1"/>
      <protection locked="1" hidden="1"/>
    </xf>
    <xf numFmtId="0" fontId="0" fillId="6" borderId="0" applyAlignment="1" applyProtection="1" pivotButton="0" quotePrefix="0" xfId="0">
      <alignment horizontal="left" vertical="center" wrapText="1"/>
      <protection locked="1" hidden="1"/>
    </xf>
    <xf numFmtId="0" fontId="2" fillId="11" borderId="29" applyAlignment="1" pivotButton="0" quotePrefix="0" xfId="0">
      <alignment horizontal="center"/>
    </xf>
    <xf numFmtId="0" fontId="29" fillId="6" borderId="0" applyAlignment="1" pivotButton="0" quotePrefix="0" xfId="0">
      <alignment horizontal="left" vertical="center" wrapText="1"/>
    </xf>
    <xf numFmtId="0" fontId="0" fillId="6" borderId="0" applyAlignment="1" applyProtection="1" pivotButton="0" quotePrefix="0" xfId="0">
      <alignment horizontal="left" vertical="top" wrapText="1"/>
      <protection locked="1" hidden="1"/>
    </xf>
    <xf numFmtId="0" fontId="0" fillId="14" borderId="16" applyAlignment="1" applyProtection="1" pivotButton="0" quotePrefix="0" xfId="0">
      <alignment horizontal="left" vertical="center" wrapText="1"/>
      <protection locked="1" hidden="1"/>
    </xf>
    <xf numFmtId="0" fontId="0" fillId="14" borderId="0" applyAlignment="1" applyProtection="1" pivotButton="0" quotePrefix="0" xfId="0">
      <alignment horizontal="left" vertical="center" wrapText="1"/>
      <protection locked="1" hidden="1"/>
    </xf>
    <xf numFmtId="0" fontId="0" fillId="18" borderId="7" applyAlignment="1" applyProtection="1" pivotButton="0" quotePrefix="0" xfId="0">
      <alignment horizontal="center"/>
      <protection locked="1" hidden="1"/>
    </xf>
    <xf numFmtId="0" fontId="1" fillId="27" borderId="3" applyAlignment="1" applyProtection="1" pivotButton="0" quotePrefix="0" xfId="0">
      <alignment horizontal="center"/>
      <protection locked="1" hidden="1"/>
    </xf>
    <xf numFmtId="0" fontId="1" fillId="27" borderId="0" applyAlignment="1" applyProtection="1" pivotButton="0" quotePrefix="0" xfId="0">
      <alignment horizontal="center"/>
      <protection locked="1" hidden="1"/>
    </xf>
    <xf numFmtId="0" fontId="0" fillId="0" borderId="3" applyAlignment="1" applyProtection="1" pivotButton="0" quotePrefix="0" xfId="0">
      <alignment horizontal="left" vertical="top" wrapText="1"/>
      <protection locked="1" hidden="1"/>
    </xf>
    <xf numFmtId="0" fontId="0" fillId="0" borderId="4" applyAlignment="1" applyProtection="1" pivotButton="0" quotePrefix="0" xfId="0">
      <alignment horizontal="left" vertical="top" wrapText="1"/>
      <protection locked="1" hidden="1"/>
    </xf>
    <xf numFmtId="0" fontId="0" fillId="0" borderId="5" applyAlignment="1" applyProtection="1" pivotButton="0" quotePrefix="0" xfId="0">
      <alignment horizontal="left" vertical="top" wrapText="1"/>
      <protection locked="1" hidden="1"/>
    </xf>
    <xf numFmtId="0" fontId="0" fillId="0" borderId="6" applyAlignment="1" applyProtection="1" pivotButton="0" quotePrefix="0" xfId="0">
      <alignment horizontal="left" vertical="top" wrapText="1"/>
      <protection locked="1" hidden="1"/>
    </xf>
    <xf numFmtId="0" fontId="29" fillId="6" borderId="0" applyAlignment="1" applyProtection="1" pivotButton="0" quotePrefix="0" xfId="0">
      <alignment horizontal="left" vertical="center" wrapText="1"/>
      <protection locked="1" hidden="1"/>
    </xf>
    <xf numFmtId="0" fontId="0" fillId="0" borderId="3"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14" borderId="7" applyAlignment="1" applyProtection="1" pivotButton="0" quotePrefix="0" xfId="0">
      <alignment horizontal="left" vertical="center" wrapText="1"/>
      <protection locked="1" hidden="1"/>
    </xf>
    <xf numFmtId="0" fontId="0" fillId="17" borderId="31" applyAlignment="1" applyProtection="1" pivotButton="0" quotePrefix="0" xfId="0">
      <alignment horizontal="center"/>
      <protection locked="1" hidden="1"/>
    </xf>
    <xf numFmtId="0" fontId="0" fillId="17" borderId="33" applyAlignment="1" applyProtection="1" pivotButton="0" quotePrefix="0" xfId="0">
      <alignment horizontal="center"/>
      <protection locked="1" hidden="1"/>
    </xf>
    <xf numFmtId="0" fontId="0" fillId="17" borderId="28" applyAlignment="1" applyProtection="1" pivotButton="0" quotePrefix="0" xfId="0">
      <alignment horizontal="center"/>
      <protection locked="1" hidden="1"/>
    </xf>
    <xf numFmtId="0" fontId="0" fillId="9" borderId="0" applyAlignment="1" applyProtection="1" pivotButton="0" quotePrefix="0" xfId="0">
      <alignment horizontal="left"/>
      <protection locked="1" hidden="1"/>
    </xf>
    <xf numFmtId="0" fontId="0" fillId="18" borderId="0" applyAlignment="1" applyProtection="1" pivotButton="0" quotePrefix="0" xfId="0">
      <alignment horizontal="center"/>
      <protection locked="1" hidden="1"/>
    </xf>
    <xf numFmtId="173" fontId="17" fillId="2" borderId="7" applyAlignment="1" applyProtection="1" pivotButton="0" quotePrefix="0" xfId="4">
      <alignment horizontal="center"/>
      <protection locked="0" hidden="1"/>
    </xf>
    <xf numFmtId="166" fontId="0" fillId="6" borderId="7" applyAlignment="1" applyProtection="1" pivotButton="0" quotePrefix="0" xfId="0">
      <alignment horizontal="center"/>
      <protection locked="1" hidden="1"/>
    </xf>
    <xf numFmtId="164" fontId="8" fillId="6" borderId="0" applyAlignment="1" applyProtection="1" pivotButton="0" quotePrefix="0" xfId="0">
      <alignment horizontal="center"/>
      <protection locked="1" hidden="1"/>
    </xf>
    <xf numFmtId="164" fontId="8" fillId="6" borderId="0" applyAlignment="1" applyProtection="1" pivotButton="0" quotePrefix="0" xfId="0">
      <alignment horizontal="center" vertical="center"/>
      <protection locked="1" hidden="1"/>
    </xf>
    <xf numFmtId="166" fontId="0" fillId="6" borderId="7" applyAlignment="1" applyProtection="1" pivotButton="0" quotePrefix="0" xfId="0">
      <alignment horizontal="center" vertical="center"/>
      <protection locked="1" hidden="1"/>
    </xf>
    <xf numFmtId="167" fontId="0" fillId="6" borderId="18" applyAlignment="1" applyProtection="1" pivotButton="0" quotePrefix="0" xfId="3">
      <alignment horizontal="center" vertical="center"/>
      <protection locked="1" hidden="1"/>
    </xf>
    <xf numFmtId="167" fontId="0" fillId="6" borderId="27" applyAlignment="1" applyProtection="1" pivotButton="0" quotePrefix="0" xfId="3">
      <alignment horizontal="center" vertical="center"/>
      <protection locked="1" hidden="1"/>
    </xf>
    <xf numFmtId="168" fontId="0" fillId="0" borderId="0" applyProtection="1" pivotButton="0" quotePrefix="0" xfId="2">
      <protection locked="1" hidden="1"/>
    </xf>
    <xf numFmtId="166" fontId="0" fillId="9" borderId="7" applyAlignment="1" applyProtection="1" pivotButton="0" quotePrefix="0" xfId="0">
      <alignment horizontal="center"/>
      <protection locked="1" hidden="1"/>
    </xf>
    <xf numFmtId="164" fontId="0" fillId="6" borderId="7" applyAlignment="1" applyProtection="1" pivotButton="0" quotePrefix="0" xfId="2">
      <alignment horizontal="center" vertical="center"/>
      <protection locked="1" hidden="1"/>
    </xf>
    <xf numFmtId="164" fontId="14" fillId="6" borderId="7" applyAlignment="1" applyProtection="1" pivotButton="0" quotePrefix="0" xfId="2">
      <alignment horizontal="center"/>
      <protection locked="1" hidden="1"/>
    </xf>
    <xf numFmtId="164" fontId="0" fillId="0" borderId="0" applyProtection="1" pivotButton="0" quotePrefix="0" xfId="0">
      <protection locked="1" hidden="1"/>
    </xf>
    <xf numFmtId="164" fontId="2" fillId="9" borderId="0" applyAlignment="1" applyProtection="1" pivotButton="0" quotePrefix="0" xfId="2">
      <alignment horizontal="center"/>
      <protection locked="1" hidden="1"/>
    </xf>
    <xf numFmtId="166" fontId="0" fillId="0" borderId="0" applyProtection="1" pivotButton="0" quotePrefix="0" xfId="0">
      <protection locked="1" hidden="1"/>
    </xf>
    <xf numFmtId="0" fontId="0" fillId="0" borderId="28" applyProtection="1" pivotButton="0" quotePrefix="0" xfId="0">
      <protection locked="1" hidden="1"/>
    </xf>
    <xf numFmtId="0" fontId="0" fillId="0" borderId="33" applyProtection="1" pivotButton="0" quotePrefix="0" xfId="0">
      <protection locked="1" hidden="1"/>
    </xf>
    <xf numFmtId="0" fontId="40" fillId="12" borderId="7" applyAlignment="1" applyProtection="1" pivotButton="0" quotePrefix="0" xfId="0">
      <alignment horizontal="left" vertical="center" wrapText="1" readingOrder="1"/>
      <protection locked="1" hidden="1"/>
    </xf>
    <xf numFmtId="0" fontId="40" fillId="2" borderId="7" applyAlignment="1" applyProtection="1" pivotButton="0" quotePrefix="0" xfId="0">
      <alignment horizontal="left" vertical="center" wrapText="1" readingOrder="1"/>
      <protection locked="0" hidden="1"/>
    </xf>
    <xf numFmtId="0" fontId="0" fillId="0" borderId="33" applyProtection="1" pivotButton="0" quotePrefix="0" xfId="0">
      <protection locked="0" hidden="1"/>
    </xf>
    <xf numFmtId="0" fontId="0" fillId="0" borderId="28" applyProtection="1" pivotButton="0" quotePrefix="0" xfId="0">
      <protection locked="0" hidden="1"/>
    </xf>
    <xf numFmtId="0" fontId="18" fillId="10" borderId="7" applyAlignment="1" applyProtection="1" pivotButton="0" quotePrefix="0" xfId="0">
      <alignment horizontal="left" vertical="center"/>
      <protection locked="1" hidden="1"/>
    </xf>
    <xf numFmtId="0" fontId="0" fillId="0" borderId="7" applyAlignment="1" applyProtection="1" pivotButton="0" quotePrefix="0" xfId="0">
      <alignment horizontal="center" vertical="center" wrapText="1"/>
      <protection locked="1" hidden="1"/>
    </xf>
    <xf numFmtId="0" fontId="0" fillId="14" borderId="18" applyAlignment="1" applyProtection="1" pivotButton="0" quotePrefix="0" xfId="0">
      <alignment horizontal="left" vertical="center" wrapText="1"/>
      <protection locked="1" hidden="1"/>
    </xf>
    <xf numFmtId="0" fontId="0" fillId="0" borderId="40" applyProtection="1" pivotButton="0" quotePrefix="0" xfId="0">
      <protection locked="1" hidden="1"/>
    </xf>
    <xf numFmtId="164" fontId="0" fillId="0" borderId="0" applyAlignment="1" applyProtection="1" pivotButton="0" quotePrefix="0" xfId="2">
      <alignment horizontal="center"/>
      <protection locked="1" hidden="1"/>
    </xf>
    <xf numFmtId="164" fontId="0" fillId="9" borderId="35" applyAlignment="1" applyProtection="1" pivotButton="0" quotePrefix="0" xfId="0">
      <alignment horizontal="center"/>
      <protection locked="1" hidden="1"/>
    </xf>
    <xf numFmtId="164" fontId="0" fillId="9" borderId="36" applyAlignment="1" applyProtection="1" pivotButton="0" quotePrefix="0" xfId="0">
      <alignment horizontal="center"/>
      <protection locked="1" hidden="1"/>
    </xf>
    <xf numFmtId="164" fontId="0" fillId="9" borderId="7" applyAlignment="1" applyProtection="1" pivotButton="0" quotePrefix="0" xfId="0">
      <alignment horizontal="center"/>
      <protection locked="1" hidden="1"/>
    </xf>
    <xf numFmtId="172" fontId="0" fillId="9" borderId="7" applyAlignment="1" applyProtection="1" pivotButton="0" quotePrefix="0" xfId="0">
      <alignment horizontal="center"/>
      <protection locked="1" hidden="1"/>
    </xf>
    <xf numFmtId="164" fontId="0" fillId="0" borderId="0" applyAlignment="1" applyProtection="1" pivotButton="0" quotePrefix="0" xfId="0">
      <alignment horizontal="center"/>
      <protection locked="1" hidden="1"/>
    </xf>
    <xf numFmtId="164" fontId="0" fillId="12" borderId="7" applyAlignment="1" applyProtection="1" pivotButton="0" quotePrefix="0" xfId="0">
      <alignment horizontal="center"/>
      <protection locked="1" hidden="1"/>
    </xf>
    <xf numFmtId="169" fontId="0" fillId="9" borderId="7" applyAlignment="1" applyProtection="1" pivotButton="0" quotePrefix="0" xfId="0">
      <alignment horizontal="center"/>
      <protection locked="1" hidden="1"/>
    </xf>
    <xf numFmtId="164" fontId="0" fillId="12" borderId="31" applyAlignment="1" applyProtection="1" pivotButton="0" quotePrefix="0" xfId="0">
      <alignment horizontal="center" vertical="center"/>
      <protection locked="1" hidden="1"/>
    </xf>
    <xf numFmtId="164" fontId="0" fillId="9" borderId="7" applyAlignment="1" applyProtection="1" pivotButton="0" quotePrefix="0" xfId="2">
      <alignment horizontal="center"/>
      <protection locked="1" hidden="1"/>
    </xf>
    <xf numFmtId="164" fontId="2" fillId="9" borderId="7" applyAlignment="1" applyProtection="1" pivotButton="0" quotePrefix="0" xfId="0">
      <alignment horizontal="center"/>
      <protection locked="1" hidden="1"/>
    </xf>
    <xf numFmtId="172" fontId="0" fillId="9" borderId="7" applyAlignment="1" applyProtection="1" pivotButton="0" quotePrefix="0" xfId="2">
      <alignment horizontal="center"/>
      <protection locked="1" hidden="1"/>
    </xf>
    <xf numFmtId="0" fontId="0" fillId="0" borderId="44" pivotButton="0" quotePrefix="0" xfId="0"/>
    <xf numFmtId="0" fontId="0" fillId="0" borderId="45" pivotButton="0" quotePrefix="0" xfId="0"/>
    <xf numFmtId="164" fontId="14" fillId="2" borderId="7" applyAlignment="1" applyProtection="1" pivotButton="0" quotePrefix="0" xfId="2">
      <alignment horizontal="center" vertical="center"/>
      <protection locked="0" hidden="0"/>
    </xf>
    <xf numFmtId="164" fontId="0" fillId="0" borderId="0" pivotButton="0" quotePrefix="0" xfId="0"/>
    <xf numFmtId="0" fontId="0" fillId="0" borderId="48" applyAlignment="1" applyProtection="1" pivotButton="0" quotePrefix="0" xfId="0">
      <alignment horizontal="left" vertical="top" wrapText="1"/>
      <protection locked="1" hidden="1"/>
    </xf>
    <xf numFmtId="164" fontId="32" fillId="9" borderId="7" applyAlignment="1" applyProtection="1" pivotButton="0" quotePrefix="0" xfId="0">
      <alignment horizontal="center"/>
      <protection locked="1" hidden="1"/>
    </xf>
    <xf numFmtId="166" fontId="3" fillId="2" borderId="7" applyAlignment="1" applyProtection="1" pivotButton="0" quotePrefix="0" xfId="0">
      <alignment horizontal="center"/>
      <protection locked="0" hidden="1"/>
    </xf>
    <xf numFmtId="170" fontId="0" fillId="0" borderId="0" applyProtection="1" pivotButton="0" quotePrefix="0" xfId="2">
      <protection locked="1" hidden="1"/>
    </xf>
    <xf numFmtId="175" fontId="0" fillId="0" borderId="0" pivotButton="0" quotePrefix="0" xfId="0"/>
    <xf numFmtId="176" fontId="0" fillId="0" borderId="0" applyProtection="1" pivotButton="0" quotePrefix="0" xfId="0">
      <protection locked="1" hidden="1"/>
    </xf>
    <xf numFmtId="177" fontId="0" fillId="0" borderId="0" applyProtection="1" pivotButton="0" quotePrefix="0" xfId="0">
      <protection locked="1" hidden="1"/>
    </xf>
    <xf numFmtId="168" fontId="0" fillId="15" borderId="0" applyAlignment="1" applyProtection="1" pivotButton="0" quotePrefix="0" xfId="2">
      <alignment vertical="center"/>
      <protection locked="1" hidden="1"/>
    </xf>
    <xf numFmtId="170" fontId="0" fillId="0" borderId="0" applyAlignment="1" applyProtection="1" pivotButton="0" quotePrefix="0" xfId="2">
      <alignment wrapText="1"/>
      <protection locked="1" hidden="1"/>
    </xf>
    <xf numFmtId="167" fontId="0" fillId="0" borderId="0" pivotButton="0" quotePrefix="0" xfId="3"/>
    <xf numFmtId="43" fontId="0" fillId="0" borderId="0" applyProtection="1" pivotButton="0" quotePrefix="0" xfId="0">
      <protection locked="1" hidden="1"/>
    </xf>
    <xf numFmtId="168" fontId="2" fillId="0" borderId="0" applyProtection="1" pivotButton="0" quotePrefix="0" xfId="0">
      <protection locked="1" hidden="1"/>
    </xf>
    <xf numFmtId="168" fontId="0" fillId="0" borderId="0" applyProtection="1" pivotButton="0" quotePrefix="0" xfId="0">
      <protection locked="1" hidden="1"/>
    </xf>
    <xf numFmtId="170" fontId="0" fillId="0" borderId="0" applyProtection="1" pivotButton="0" quotePrefix="0" xfId="0">
      <protection locked="1" hidden="1"/>
    </xf>
    <xf numFmtId="165" fontId="0" fillId="6" borderId="0" applyAlignment="1" applyProtection="1" pivotButton="0" quotePrefix="0" xfId="0">
      <alignment horizontal="center"/>
      <protection locked="1" hidden="1"/>
    </xf>
    <xf numFmtId="166" fontId="0" fillId="6" borderId="0" applyAlignment="1" applyProtection="1" pivotButton="0" quotePrefix="0" xfId="0">
      <alignment horizontal="center"/>
      <protection locked="1" hidden="1"/>
    </xf>
    <xf numFmtId="167" fontId="0" fillId="6" borderId="0" applyAlignment="1" applyProtection="1" pivotButton="0" quotePrefix="0" xfId="3">
      <alignment horizontal="center"/>
      <protection locked="1" hidden="1"/>
    </xf>
    <xf numFmtId="0" fontId="0" fillId="17" borderId="7" applyAlignment="1" applyProtection="1" pivotButton="0" quotePrefix="0" xfId="0">
      <alignment horizontal="center"/>
      <protection locked="1" hidden="1"/>
    </xf>
    <xf numFmtId="166" fontId="0" fillId="4" borderId="0" applyAlignment="1" applyProtection="1" pivotButton="0" quotePrefix="0" xfId="0">
      <alignment horizontal="center"/>
      <protection locked="1" hidden="1"/>
    </xf>
    <xf numFmtId="164" fontId="2" fillId="6" borderId="35" applyAlignment="1" applyProtection="1" pivotButton="0" quotePrefix="0" xfId="0">
      <alignment horizontal="center" vertical="center"/>
      <protection locked="1" hidden="1"/>
    </xf>
    <xf numFmtId="164" fontId="2" fillId="6" borderId="36" applyAlignment="1" applyProtection="1" pivotButton="0" quotePrefix="0" xfId="0">
      <alignment horizontal="center" vertical="center"/>
      <protection locked="1" hidden="1"/>
    </xf>
    <xf numFmtId="164" fontId="2" fillId="6" borderId="7" applyAlignment="1" applyProtection="1" pivotButton="0" quotePrefix="0" xfId="2">
      <alignment horizontal="center" vertical="center"/>
      <protection locked="1" hidden="1"/>
    </xf>
    <xf numFmtId="179" fontId="0" fillId="6" borderId="0" applyProtection="1" pivotButton="0" quotePrefix="0" xfId="2">
      <protection locked="1" hidden="1"/>
    </xf>
    <xf numFmtId="168" fontId="0" fillId="6" borderId="0" applyProtection="1" pivotButton="0" quotePrefix="0" xfId="0">
      <protection locked="1" hidden="1"/>
    </xf>
    <xf numFmtId="168" fontId="0" fillId="6" borderId="0" applyProtection="1" pivotButton="0" quotePrefix="1" xfId="0">
      <protection locked="1" hidden="1"/>
    </xf>
    <xf numFmtId="180" fontId="0" fillId="6" borderId="0" applyProtection="1" pivotButton="0" quotePrefix="0" xfId="0">
      <protection locked="1" hidden="1"/>
    </xf>
    <xf numFmtId="178" fontId="0" fillId="0" borderId="0" applyProtection="1" pivotButton="0" quotePrefix="0" xfId="0">
      <protection locked="1" hidden="1"/>
    </xf>
    <xf numFmtId="168" fontId="2" fillId="0" borderId="0" applyProtection="1" pivotButton="0" quotePrefix="0" xfId="2">
      <protection locked="1" hidden="1"/>
    </xf>
    <xf numFmtId="168" fontId="2" fillId="12" borderId="0" applyProtection="1" pivotButton="0" quotePrefix="0" xfId="2">
      <protection locked="1" hidden="1"/>
    </xf>
    <xf numFmtId="164" fontId="0" fillId="6" borderId="7" applyAlignment="1" applyProtection="1" pivotButton="0" quotePrefix="0" xfId="0">
      <alignment horizontal="center"/>
      <protection locked="1" hidden="1"/>
    </xf>
    <xf numFmtId="167" fontId="0" fillId="6" borderId="7" applyAlignment="1" applyProtection="1" pivotButton="0" quotePrefix="0" xfId="3">
      <alignment horizontal="center"/>
      <protection locked="1" hidden="1"/>
    </xf>
    <xf numFmtId="164" fontId="0" fillId="6" borderId="7" applyAlignment="1" applyProtection="1" pivotButton="0" quotePrefix="0" xfId="2">
      <alignment horizontal="center"/>
      <protection locked="1" hidden="1"/>
    </xf>
    <xf numFmtId="164" fontId="0" fillId="6" borderId="29" applyAlignment="1" applyProtection="1" pivotButton="0" quotePrefix="0" xfId="2">
      <alignment horizontal="center"/>
      <protection locked="1" hidden="1"/>
    </xf>
    <xf numFmtId="164" fontId="2" fillId="6" borderId="35" applyAlignment="1" applyProtection="1" pivotButton="0" quotePrefix="0" xfId="2">
      <alignment horizontal="center"/>
      <protection locked="1" hidden="1"/>
    </xf>
    <xf numFmtId="167" fontId="0" fillId="6" borderId="36" applyAlignment="1" applyProtection="1" pivotButton="0" quotePrefix="0" xfId="3">
      <alignment horizontal="center"/>
      <protection locked="1" hidden="1"/>
    </xf>
    <xf numFmtId="169" fontId="0" fillId="6" borderId="10" applyAlignment="1" applyProtection="1" pivotButton="0" quotePrefix="0" xfId="2">
      <alignment horizontal="center"/>
      <protection locked="1" hidden="1"/>
    </xf>
    <xf numFmtId="174" fontId="0" fillId="0" borderId="0" applyProtection="1" pivotButton="0" quotePrefix="0" xfId="0">
      <protection locked="1" hidden="1"/>
    </xf>
  </cellXfs>
  <cellStyles count="5">
    <cellStyle name="Normal" xfId="0" builtinId="0"/>
    <cellStyle name="Hyperlink" xfId="1" builtinId="8"/>
    <cellStyle name="Comma" xfId="2" builtinId="3"/>
    <cellStyle name="Per cent" xfId="3" builtinId="5"/>
    <cellStyle name="Comma 2" xfId="4"/>
  </cellStyles>
  <dxfs count="33">
    <dxf>
      <fill>
        <patternFill>
          <bgColor theme="9" tint="0.5999633777886288"/>
        </patternFill>
      </fill>
    </dxf>
    <dxf>
      <fill>
        <patternFill>
          <bgColor rgb="FFC00000"/>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C00000"/>
        </patternFill>
      </fill>
    </dxf>
    <dxf>
      <fill>
        <patternFill>
          <bgColor rgb="FFC00000"/>
        </patternFill>
      </fill>
    </dxf>
    <dxf>
      <font>
        <color auto="1"/>
      </font>
      <fill>
        <patternFill>
          <bgColor rgb="FFC00000"/>
        </patternFill>
      </fill>
    </dxf>
    <dxf>
      <fill>
        <patternFill>
          <bgColor rgb="FFC00000"/>
        </patternFill>
      </fill>
    </dxf>
    <dxf>
      <font>
        <color rgb="FF7030A0"/>
      </font>
    </dxf>
    <dxf>
      <font>
        <color rgb="FF7030A0"/>
      </font>
    </dxf>
    <dxf>
      <fill>
        <patternFill>
          <bgColor theme="9" tint="0.5999633777886288"/>
        </patternFill>
      </fill>
    </dxf>
    <dxf>
      <fill>
        <patternFill>
          <bgColor rgb="FFC00000"/>
        </patternFill>
      </fill>
    </dxf>
    <dxf>
      <fill>
        <patternFill>
          <fgColor indexed="64"/>
          <bgColor theme="8" tint="0.7999816888943144"/>
        </patternFill>
      </fill>
      <protection locked="1" hidden="1"/>
    </dxf>
    <dxf>
      <numFmt numFmtId="1" formatCode="0"/>
      <fill>
        <patternFill patternType="solid">
          <fgColor indexed="64"/>
          <bgColor theme="8" tint="0.7999816888943144"/>
        </patternFill>
      </fill>
      <protection locked="1" hidden="1"/>
    </dxf>
    <dxf>
      <numFmt numFmtId="0" formatCode="General"/>
      <fill>
        <patternFill>
          <fgColor indexed="64"/>
          <bgColor theme="8" tint="0.7999816888943144"/>
        </patternFill>
      </fill>
      <protection locked="1" hidden="1"/>
    </dxf>
    <dxf>
      <numFmt numFmtId="0" formatCode="General"/>
      <fill>
        <patternFill>
          <fgColor indexed="64"/>
          <bgColor theme="8" tint="0.7999816888943144"/>
        </patternFill>
      </fill>
      <protection locked="1" hidden="1"/>
    </dxf>
    <dxf>
      <numFmt numFmtId="0" formatCode="General"/>
      <fill>
        <patternFill patternType="solid">
          <fgColor indexed="64"/>
          <bgColor theme="8" tint="0.7999816888943144"/>
        </patternFill>
      </fill>
      <protection locked="1" hidden="1"/>
    </dxf>
    <dxf>
      <font>
        <name val="Calibri"/>
        <family val="2"/>
        <strike val="0"/>
        <outline val="0"/>
        <shadow val="0"/>
        <condense val="0"/>
        <color theme="1"/>
        <extend val="0"/>
        <sz val="11"/>
        <vertAlign val="baseline"/>
        <scheme val="minor"/>
      </font>
      <numFmt numFmtId="180" formatCode="_ * #,##0.000_ ;_ * \-#,##0.000_ ;_ * &quot;-&quot;??_ ;_ @_ "/>
      <fill>
        <patternFill patternType="solid">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70" formatCode="0.00_);\(0.00\)"/>
      <fill>
        <patternFill patternType="solid">
          <fgColor indexed="64"/>
          <bgColor theme="8" tint="0.7999816888943144"/>
        </patternFill>
      </fill>
      <alignment horizontal="center" vertical="bottom"/>
      <protection locked="1" hidden="1"/>
    </dxf>
    <dxf>
      <numFmt numFmtId="170" formatCode="0.00_);\(0.00\)"/>
      <fill>
        <patternFill patternType="solid">
          <fgColor indexed="64"/>
          <bgColor theme="8" tint="0.7999816888943144"/>
        </patternFill>
      </fill>
      <alignment horizontal="center" vertical="bottom"/>
      <protection locked="1" hidden="1"/>
    </dxf>
    <dxf>
      <numFmt numFmtId="170" formatCode="0.00_);\(0.00\)"/>
      <fill>
        <patternFill patternType="solid">
          <fgColor indexed="64"/>
          <bgColor theme="8" tint="0.7999816888943144"/>
        </patternFill>
      </fill>
      <alignment horizontal="center" vertical="bottom"/>
      <protection locked="1" hidden="1"/>
    </dxf>
    <dxf>
      <numFmt numFmtId="170" formatCode="0.00_);\(0.00\)"/>
      <fill>
        <patternFill patternType="solid">
          <fgColor indexed="64"/>
          <bgColor theme="8" tint="0.7999816888943144"/>
        </patternFill>
      </fill>
      <alignment horizontal="center" vertical="bottom"/>
      <protection locked="1" hidden="1"/>
    </dxf>
    <dxf>
      <protection locked="1" hidden="1"/>
    </dxf>
    <dxf>
      <protection locked="1" hidden="1"/>
    </dxf>
    <dxf>
      <protection locked="1" hidden="1"/>
    </dxf>
    <dxf>
      <font>
        <name val="Calibri"/>
        <family val="2"/>
        <b val="1"/>
        <strike val="0"/>
        <outline val="0"/>
        <shadow val="0"/>
        <condense val="0"/>
        <color theme="0"/>
        <extend val="0"/>
        <sz val="11"/>
        <vertAlign val="baseline"/>
        <scheme val="minor"/>
      </font>
      <fill>
        <patternFill>
          <fgColor indexed="64"/>
          <bgColor auto="1"/>
        </patternFill>
      </fill>
      <protection locked="1" hidden="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65000"/>
                    <a:lumOff val="35000"/>
                  </a:schemeClr>
                </a:solidFill>
                <a:latin typeface="+mn-lt"/>
                <a:ea typeface="+mn-ea"/>
                <a:cs typeface="+mn-cs"/>
              </a:defRPr>
            </a:pPr>
            <a:r>
              <a:rPr lang="en-US"/>
              <a:t xml:space="preserve">% of LI benchmark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65000"/>
                  <a:lumOff val="35000"/>
                </a:schemeClr>
              </a:solidFill>
              <a:latin typeface="+mn-lt"/>
              <a:ea typeface="+mn-ea"/>
              <a:cs typeface="+mn-cs"/>
            </a:defRPr>
          </a:pPr>
          <a:r>
            <a:t/>
          </a:r>
          <a:endParaRPr lang="en-US"/>
        </a:p>
      </txPr>
    </title>
    <plotArea>
      <layout/>
      <pieChart>
        <varyColors val="1"/>
        <ser>
          <idx val="0"/>
          <order val="0"/>
          <tx>
            <strRef>
              <f>'OUTPUT_Living wage'!$G$26</f>
              <strCache>
                <ptCount val="1"/>
                <pt idx="0">
                  <v>USD/month</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pPr>
          </dPt>
          <dPt>
            <idx val="1"/>
            <bubble3D val="0"/>
            <spPr>
              <a:solidFill xmlns:a="http://schemas.openxmlformats.org/drawingml/2006/main">
                <a:schemeClr val="accent2"/>
              </a:solidFill>
              <a:ln xmlns:a="http://schemas.openxmlformats.org/drawingml/2006/main">
                <a:noFill/>
                <a:prstDash val="solid"/>
              </a:ln>
            </spPr>
          </dPt>
          <dPt>
            <idx val="2"/>
            <bubble3D val="0"/>
            <spPr>
              <a:solidFill xmlns:a="http://schemas.openxmlformats.org/drawingml/2006/main">
                <a:schemeClr val="accent3"/>
              </a:solidFill>
              <a:ln xmlns:a="http://schemas.openxmlformats.org/drawingml/2006/main">
                <a:noFill/>
                <a:prstDash val="solid"/>
              </a:ln>
            </spPr>
          </dPt>
          <dPt>
            <idx val="3"/>
            <bubble3D val="0"/>
            <spPr>
              <a:solidFill xmlns:a="http://schemas.openxmlformats.org/drawingml/2006/main">
                <a:schemeClr val="accent4"/>
              </a:solidFill>
              <a:ln xmlns:a="http://schemas.openxmlformats.org/drawingml/2006/main">
                <a:noFill/>
                <a:prstDash val="solid"/>
              </a:ln>
            </spPr>
          </dPt>
          <dPt>
            <idx val="4"/>
            <bubble3D val="0"/>
            <spPr>
              <a:solidFill xmlns:a="http://schemas.openxmlformats.org/drawingml/2006/main">
                <a:schemeClr val="accent5"/>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200" b="1" i="0" strike="noStrike" kern="1200" baseline="0">
                    <a:solidFill>
                      <a:schemeClr val="lt1"/>
                    </a:solidFill>
                    <a:latin typeface="+mn-lt"/>
                    <a:ea typeface="+mn-ea"/>
                    <a:cs typeface="+mn-cs"/>
                  </a:defRPr>
                </a:pPr>
                <a:r>
                  <a:t/>
                </a:r>
                <a:endParaRPr lang="en-US"/>
              </a:p>
            </txPr>
            <dLblPos val="inEnd"/>
            <showLegendKey val="0"/>
            <showVal val="0"/>
            <showCatName val="0"/>
            <showSerName val="0"/>
            <showPercent val="1"/>
            <showBubbleSize val="0"/>
            <showLeaderLines val="1"/>
          </dLbls>
          <cat>
            <strRef>
              <f>'OUTPUT_Living wage'!$C$27:$D$31</f>
              <strCache>
                <ptCount val="5"/>
                <pt idx="0">
                  <v>Housing</v>
                </pt>
                <pt idx="1">
                  <v>Food</v>
                </pt>
                <pt idx="2">
                  <v>NFNH</v>
                </pt>
                <pt idx="3">
                  <v>Cost of elder care</v>
                </pt>
                <pt idx="4">
                  <v>Margins (unexpected events)</v>
                </pt>
              </strCache>
            </strRef>
          </cat>
          <val>
            <numRef>
              <f>'OUTPUT_Living wage'!$G$27:$G$31</f>
              <numCache>
                <formatCode xml:space="preserve">#,##0_ ;\-#,##0\ </formatCode>
                <ptCount val="5"/>
                <pt idx="0">
                  <v>26.74748866213152</v>
                </pt>
                <pt idx="1">
                  <v>176.3395751605936</v>
                </pt>
                <pt idx="2">
                  <v>150.5090929472547</v>
                </pt>
                <pt idx="3">
                  <v>17.67980783849899</v>
                </pt>
                <pt idx="4">
                  <v>17.67980783849899</v>
                </pt>
              </numCache>
            </numRef>
          </val>
        </ser>
        <dLbls>
          <dLblPos val="inEnd"/>
          <showLegendKey val="0"/>
          <showVal val="0"/>
          <showCatName val="0"/>
          <showSerName val="0"/>
          <showPercent val="1"/>
          <showBubbleSize val="0"/>
          <showLeaderLines val="1"/>
        </dLbls>
        <firstSliceAng val="0"/>
      </pieChart>
    </plotArea>
    <legend>
      <legendPos val="b"/>
      <overlay val="0"/>
      <spPr>
        <a:solidFill xmlns:a="http://schemas.openxmlformats.org/drawingml/2006/main">
          <a:schemeClr val="lt1">
            <a:alpha val="78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dk1">
                  <a:lumMod val="65000"/>
                  <a:lumOff val="35000"/>
                </a:schemeClr>
              </a:solidFill>
              <a:latin typeface="+mn-lt"/>
              <a:ea typeface="+mn-ea"/>
              <a:cs typeface="+mn-cs"/>
            </a:defRPr>
          </a:pPr>
          <a:r>
            <a:t/>
          </a:r>
          <a:endParaRPr lang="en-US"/>
        </a:p>
      </txPr>
    </legend>
    <plotVisOnly val="1"/>
    <dispBlanksAs val="gap"/>
  </chart>
  <spPr>
    <a:pattFill xmlns:a="http://schemas.openxmlformats.org/drawingml/2006/main" prst="dkDnDiag">
      <a:fgClr>
        <a:schemeClr val="lt1">
          <a:lumMod val="95000"/>
        </a:schemeClr>
      </a:fgClr>
      <a:bgClr>
        <a:schemeClr val="lt1"/>
      </a:bgClr>
    </a:pattFill>
    <a:ln xmlns:a="http://schemas.openxmlformats.org/drawingml/2006/main" w="28575" cap="flat" cmpd="sng" algn="ctr">
      <a:solidFill>
        <a:schemeClr val="accent5">
          <a:lumMod val="50000"/>
        </a:schemeClr>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260601269992952"/>
          <y val="0.1809935424612459"/>
          <w val="0.435608730287606"/>
          <h val="0.7082313490060048"/>
        </manualLayout>
      </layout>
      <pieChart>
        <varyColors val="1"/>
        <ser>
          <idx val="0"/>
          <order val="0"/>
          <spPr>
            <a:ln xmlns:a="http://schemas.openxmlformats.org/drawingml/2006/main">
              <a:prstDash val="solid"/>
            </a:ln>
          </spPr>
          <dPt>
            <idx val="0"/>
            <bubble3D val="0"/>
            <spPr>
              <a:solidFill xmlns:a="http://schemas.openxmlformats.org/drawingml/2006/main">
                <a:schemeClr val="accent5">
                  <a:shade val="58000"/>
                </a:schemeClr>
              </a:solidFill>
              <a:ln xmlns:a="http://schemas.openxmlformats.org/drawingml/2006/main" w="19050">
                <a:solidFill>
                  <a:schemeClr val="lt1"/>
                </a:solidFill>
                <a:prstDash val="solid"/>
              </a:ln>
            </spPr>
          </dPt>
          <dPt>
            <idx val="1"/>
            <bubble3D val="0"/>
            <spPr>
              <a:solidFill xmlns:a="http://schemas.openxmlformats.org/drawingml/2006/main">
                <a:schemeClr val="accent5">
                  <a:tint val="86000"/>
                </a:schemeClr>
              </a:solidFill>
              <a:ln xmlns:a="http://schemas.openxmlformats.org/drawingml/2006/main" w="19050">
                <a:solidFill>
                  <a:schemeClr val="lt1"/>
                </a:solidFill>
                <a:prstDash val="solid"/>
              </a:ln>
            </spPr>
          </dPt>
          <dPt>
            <idx val="2"/>
            <bubble3D val="0"/>
            <spPr>
              <a:solidFill xmlns:a="http://schemas.openxmlformats.org/drawingml/2006/main">
                <a:schemeClr val="accent5">
                  <a:shade val="86000"/>
                </a:schemeClr>
              </a:solidFill>
              <a:ln xmlns:a="http://schemas.openxmlformats.org/drawingml/2006/main" w="19050">
                <a:solidFill>
                  <a:schemeClr val="lt1"/>
                </a:solidFill>
                <a:prstDash val="solid"/>
              </a:ln>
            </spPr>
          </dPt>
          <dPt>
            <idx val="3"/>
            <bubble3D val="0"/>
            <spPr>
              <a:solidFill xmlns:a="http://schemas.openxmlformats.org/drawingml/2006/main">
                <a:schemeClr val="accent5">
                  <a:tint val="58000"/>
                </a:schemeClr>
              </a:solidFill>
              <a:ln xmlns:a="http://schemas.openxmlformats.org/drawingml/2006/main" w="19050">
                <a:solidFill>
                  <a:schemeClr val="lt1"/>
                </a:solidFill>
                <a:prstDash val="solid"/>
              </a:ln>
            </spPr>
          </dPt>
          <dLbls>
            <dLbl>
              <idx val="0"/>
              <dLblPos val="bestFit"/>
              <showLegendKey val="0"/>
              <showVal val="1"/>
              <showCatName val="1"/>
              <showSerName val="0"/>
              <showPercent val="0"/>
              <showBubbleSize val="0"/>
            </dLbl>
            <dLbl>
              <idx val="1"/>
              <dLblPos val="bestFit"/>
              <showLegendKey val="0"/>
              <showVal val="1"/>
              <showCatName val="1"/>
              <showSerName val="0"/>
              <showPercent val="0"/>
              <showBubbleSize val="0"/>
            </dLbl>
            <dLbl>
              <idx val="2"/>
              <dLblPos val="bestFit"/>
              <showLegendKey val="0"/>
              <showVal val="1"/>
              <showCatName val="1"/>
              <showSerName val="0"/>
              <showPercent val="0"/>
              <showBubbleSize val="0"/>
            </dLbl>
            <dLbl>
              <idx val="3"/>
              <dLblPos val="bestFit"/>
              <showLegendKey val="0"/>
              <showVal val="1"/>
              <showCatName val="1"/>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1"/>
            <showSerName val="0"/>
            <showPercent val="0"/>
            <showBubbleSize val="0"/>
            <showLeaderLines val="1"/>
          </dLbls>
          <cat>
            <strRef>
              <f>'Background calculations'!$B$89:$B$92</f>
              <strCache>
                <ptCount val="4"/>
                <pt idx="0">
                  <v>Rent</v>
                </pt>
                <pt idx="1">
                  <v>Electricity</v>
                </pt>
                <pt idx="2">
                  <v>Water</v>
                </pt>
                <pt idx="3">
                  <v>Cooking fuels</v>
                </pt>
              </strCache>
            </strRef>
          </cat>
          <val>
            <numRef>
              <f>'Background calculations'!$C$89:$C$92</f>
              <numCache>
                <formatCode>0%</formatCode>
                <ptCount val="4"/>
                <pt idx="0">
                  <v>0.3752870979190149</v>
                </pt>
                <pt idx="1">
                  <v>0.1120496760394153</v>
                </pt>
                <pt idx="2">
                  <v>0.05218825926977221</v>
                </pt>
                <pt idx="3">
                  <v>0.4604749667717975</v>
                </pt>
              </numCache>
            </numRef>
          </val>
        </ser>
        <dLbls>
          <showLegendKey val="0"/>
          <showVal val="0"/>
          <showCatName val="0"/>
          <showSerName val="0"/>
          <showPercent val="0"/>
          <showBubbleSize val="0"/>
          <showLeaderLines val="1"/>
        </dLbls>
        <firstSliceAng val="0"/>
      </pieChart>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160" b="0" i="0" strike="noStrike" kern="1200" spc="20" baseline="0">
                <a:solidFill>
                  <a:schemeClr val="tx1">
                    <a:lumMod val="50000"/>
                    <a:lumOff val="50000"/>
                  </a:schemeClr>
                </a:solidFill>
                <a:latin typeface="+mn-lt"/>
                <a:ea typeface="+mn-ea"/>
                <a:cs typeface="+mn-cs"/>
              </a:defRPr>
            </a:pPr>
            <a:r>
              <a:rPr lang="es-ES"/>
              <a:t xml:space="preserve">Nutritional </a:t>
            </a:r>
            <a:r>
              <a:rPr lang="es-ES" baseline="0"/>
              <a:t>targets overview</a:t>
            </a:r>
            <a:endParaRPr lang="es-E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160" b="0" i="0" strike="noStrike" kern="1200" spc="20" baseline="0">
              <a:solidFill>
                <a:schemeClr val="tx1">
                  <a:lumMod val="50000"/>
                  <a:lumOff val="50000"/>
                </a:schemeClr>
              </a:solidFill>
              <a:latin typeface="+mn-lt"/>
              <a:ea typeface="+mn-ea"/>
              <a:cs typeface="+mn-cs"/>
            </a:defRPr>
          </a:pPr>
          <a:r>
            <a:t/>
          </a:r>
          <a:endParaRPr lang="es-ES"/>
        </a:p>
      </txPr>
    </title>
    <plotArea>
      <layout/>
      <pieChart>
        <varyColors val="1"/>
        <ser>
          <idx val="0"/>
          <order val="0"/>
          <spPr>
            <a:ln xmlns:a="http://schemas.openxmlformats.org/drawingml/2006/main">
              <a:prstDash val="solid"/>
            </a:ln>
          </spPr>
          <dPt>
            <idx val="0"/>
            <bubble3D val="0"/>
            <spPr>
              <a:gradFill xmlns:a="http://schemas.openxmlformats.org/drawingml/2006/main" rotWithShape="1">
                <a:gsLst>
                  <a:gs pos="0">
                    <a:schemeClr val="accent1">
                      <a:tint val="67000"/>
                      <a:satMod val="105000"/>
                      <a:lumMod val="110000"/>
                    </a:schemeClr>
                  </a:gs>
                  <a:gs pos="50000">
                    <a:schemeClr val="accent1">
                      <a:tint val="73000"/>
                      <a:satMod val="103000"/>
                      <a:lumMod val="105000"/>
                    </a:schemeClr>
                  </a:gs>
                  <a:gs pos="100000">
                    <a:schemeClr val="accent1">
                      <a:tint val="81000"/>
                      <a:satMod val="109000"/>
                      <a:lumMod val="105000"/>
                    </a:schemeClr>
                  </a:gs>
                </a:gsLst>
                <a:lin ang="5400000" scaled="0"/>
              </a:gradFill>
              <a:ln xmlns:a="http://schemas.openxmlformats.org/drawingml/2006/main" w="9525" cap="flat" cmpd="sng" algn="ctr">
                <a:solidFill>
                  <a:schemeClr val="accent1">
                    <a:shade val="95000"/>
                  </a:schemeClr>
                </a:solidFill>
                <a:prstDash val="solid"/>
                <a:round/>
              </a:ln>
            </spPr>
          </dPt>
          <dPt>
            <idx val="1"/>
            <bubble3D val="0"/>
            <spPr>
              <a:gradFill xmlns:a="http://schemas.openxmlformats.org/drawingml/2006/main" rotWithShape="1">
                <a:gsLst>
                  <a:gs pos="0">
                    <a:schemeClr val="accent2">
                      <a:tint val="67000"/>
                      <a:satMod val="105000"/>
                      <a:lumMod val="110000"/>
                    </a:schemeClr>
                  </a:gs>
                  <a:gs pos="50000">
                    <a:schemeClr val="accent2">
                      <a:tint val="73000"/>
                      <a:satMod val="103000"/>
                      <a:lumMod val="105000"/>
                    </a:schemeClr>
                  </a:gs>
                  <a:gs pos="100000">
                    <a:schemeClr val="accent2">
                      <a:tint val="81000"/>
                      <a:satMod val="109000"/>
                      <a:lumMod val="105000"/>
                    </a:schemeClr>
                  </a:gs>
                </a:gsLst>
                <a:lin ang="5400000" scaled="0"/>
              </a:gradFill>
              <a:ln xmlns:a="http://schemas.openxmlformats.org/drawingml/2006/main" w="9525" cap="flat" cmpd="sng" algn="ctr">
                <a:solidFill>
                  <a:schemeClr val="accent2">
                    <a:shade val="95000"/>
                  </a:schemeClr>
                </a:solidFill>
                <a:prstDash val="solid"/>
                <a:round/>
              </a:ln>
            </spPr>
          </dPt>
          <dPt>
            <idx val="2"/>
            <bubble3D val="0"/>
            <spPr>
              <a:gradFill xmlns:a="http://schemas.openxmlformats.org/drawingml/2006/main" rotWithShape="1">
                <a:gsLst>
                  <a:gs pos="0">
                    <a:schemeClr val="accent3">
                      <a:tint val="67000"/>
                      <a:satMod val="105000"/>
                      <a:lumMod val="110000"/>
                    </a:schemeClr>
                  </a:gs>
                  <a:gs pos="50000">
                    <a:schemeClr val="accent3">
                      <a:tint val="73000"/>
                      <a:satMod val="103000"/>
                      <a:lumMod val="105000"/>
                    </a:schemeClr>
                  </a:gs>
                  <a:gs pos="100000">
                    <a:schemeClr val="accent3">
                      <a:tint val="81000"/>
                      <a:satMod val="109000"/>
                      <a:lumMod val="105000"/>
                    </a:schemeClr>
                  </a:gs>
                </a:gsLst>
                <a:lin ang="5400000" scaled="0"/>
              </a:gradFill>
              <a:ln xmlns:a="http://schemas.openxmlformats.org/drawingml/2006/main" w="9525" cap="flat" cmpd="sng" algn="ctr">
                <a:solidFill>
                  <a:schemeClr val="accent3">
                    <a:shade val="95000"/>
                  </a:schemeClr>
                </a:solidFill>
                <a:prstDash val="solid"/>
                <a:roun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lumMod val="65000"/>
                        <a:lumOff val="35000"/>
                      </a:schemeClr>
                    </a:solidFill>
                    <a:latin typeface="+mn-lt"/>
                    <a:ea typeface="+mn-ea"/>
                    <a:cs typeface="+mn-cs"/>
                  </a:defRPr>
                </a:pPr>
                <a:r>
                  <a:t/>
                </a:r>
                <a:endParaRPr lang="en-US"/>
              </a:p>
            </txPr>
            <showLegendKey val="0"/>
            <showVal val="1"/>
            <showCatName val="0"/>
            <showSerName val="0"/>
            <showPercent val="0"/>
            <showBubbleSize val="0"/>
            <showLeaderLines val="1"/>
          </dLbls>
          <cat>
            <multiLvlStrRef>
              <multiLvlStrCache>
                <lvl>
                  <pt idx="0">
                    <v>55 - 75 %</v>
                  </pt>
                  <pt idx="1">
                    <v>15 - 30 %</v>
                  </pt>
                </lvl>
                <lvl>
                  <pt idx="0">
                    <v>Energy from Carbohydrates</v>
                  </pt>
                  <pt idx="1">
                    <v>Energy from fats</v>
                  </pt>
                  <pt idx="2">
                    <v>Energy from proteins</v>
                  </pt>
                </lvl>
              </multiLvlStrCache>
              <f>'3. Food costs'!$C$37:$D$39</f>
            </multiLvlStrRef>
          </cat>
          <val>
            <numRef>
              <f>'3. Food costs'!$E$37:$E$39</f>
              <numCache>
                <formatCode>0%</formatCode>
                <ptCount val="3"/>
                <pt idx="0">
                  <v>0.605673821896259</v>
                </pt>
                <pt idx="1">
                  <v>0.2887896820212228</v>
                </pt>
                <pt idx="2">
                  <v>0.1055364960825185</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lumMod val="50000"/>
                  <a:lumOff val="50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3.png" Id="rId2"/><Relationship Type="http://schemas.openxmlformats.org/officeDocument/2006/relationships/image" Target="/xl/media/image4.png" Id="rId3"/></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image" Target="/xl/media/image6.png" Id="rId2"/><Relationship Type="http://schemas.openxmlformats.org/officeDocument/2006/relationships/image" Target="/xl/media/image7.png" Id="rId3"/></Relationships>
</file>

<file path=xl/drawings/_rels/drawing6.xml.rels><Relationships xmlns="http://schemas.openxmlformats.org/package/2006/relationships"><Relationship Type="http://schemas.openxmlformats.org/officeDocument/2006/relationships/image" Target="/xl/media/image8.png" Id="rId1"/></Relationships>
</file>

<file path=xl/drawings/_rels/drawing7.xml.rels><Relationships xmlns="http://schemas.openxmlformats.org/package/2006/relationships"><Relationship Type="http://schemas.openxmlformats.org/officeDocument/2006/relationships/image" Target="/xl/media/image9.png" Id="rId1"/></Relationships>
</file>

<file path=xl/drawings/_rels/drawing8.xml.rels><Relationships xmlns="http://schemas.openxmlformats.org/package/2006/relationships"><Relationship Type="http://schemas.openxmlformats.org/officeDocument/2006/relationships/image" Target="/xl/media/image10.png" Id="rId1"/></Relationships>
</file>

<file path=xl/drawings/_rels/drawing9.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drawing1.xml><?xml version="1.0" encoding="utf-8"?>
<wsDr xmlns="http://schemas.openxmlformats.org/drawingml/2006/spreadsheetDrawing">
  <twoCellAnchor editAs="oneCell">
    <from>
      <col>4</col>
      <colOff>5740400</colOff>
      <row>1</row>
      <rowOff>8661</rowOff>
    </from>
    <to>
      <col>4</col>
      <colOff>7490692</colOff>
      <row>3</row>
      <rowOff>52868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042400" y="192811"/>
          <a:ext cx="1750292" cy="100940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8</col>
      <colOff>410383</colOff>
      <row>21</row>
      <rowOff>102764</rowOff>
    </from>
    <to>
      <col>10</col>
      <colOff>214838</colOff>
      <row>35</row>
      <rowOff>228525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7</col>
      <colOff>87924</colOff>
      <row>0</row>
      <rowOff>0</rowOff>
    </from>
    <to>
      <col>9</col>
      <colOff>789734</colOff>
      <row>2</row>
      <rowOff>45098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36155" y="0"/>
          <a:ext cx="1750292" cy="1009077"/>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6</col>
      <colOff>518705</colOff>
      <row>13</row>
      <rowOff>62591</rowOff>
    </from>
    <to>
      <col>10</col>
      <colOff>113212</colOff>
      <row>27</row>
      <rowOff>97972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115009</colOff>
      <row>0</row>
      <rowOff>177210</rowOff>
    </from>
    <to>
      <col>2</col>
      <colOff>702767</colOff>
      <row>1</row>
      <rowOff>703520</rowOff>
    </to>
    <pic>
      <nvPicPr>
        <cNvPr id="5" name="Picture 4"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83358" y="177210"/>
          <a:ext cx="720000" cy="720000"/>
        </a:xfrm>
        <a:prstGeom xmlns:a="http://schemas.openxmlformats.org/drawingml/2006/main" prst="rect">
          <avLst/>
        </a:prstGeom>
        <a:ln xmlns:a="http://schemas.openxmlformats.org/drawingml/2006/main">
          <a:prstDash val="solid"/>
        </a:ln>
      </spPr>
    </pic>
    <clientData/>
  </twoCellAnchor>
  <twoCellAnchor editAs="oneCell">
    <from>
      <col>2</col>
      <colOff>11391</colOff>
      <row>8</row>
      <rowOff>40822</rowOff>
    </from>
    <to>
      <col>2</col>
      <colOff>420167</colOff>
      <row>8</row>
      <rowOff>476365</rowOff>
    </to>
    <pic>
      <nvPicPr>
        <cNvPr id="14" name="Picture 13"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337962" y="2163536"/>
          <a:ext cx="408776" cy="427923"/>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100710</colOff>
      <row>0</row>
      <rowOff>116493</rowOff>
    </from>
    <to>
      <col>1</col>
      <colOff>627162</colOff>
      <row>1</row>
      <rowOff>664393</rowOff>
    </to>
    <pic>
      <nvPicPr>
        <cNvPr id="2" name="Picture 1"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0710" y="116493"/>
          <a:ext cx="766828" cy="7460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8</col>
      <colOff>512170</colOff>
      <row>7</row>
      <rowOff>95251</rowOff>
    </from>
    <to>
      <col>15</col>
      <colOff>775606</colOff>
      <row>28</row>
      <rowOff>58238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col>
      <colOff>16329</colOff>
      <row>9</row>
      <rowOff>46537</rowOff>
    </from>
    <to>
      <col>2</col>
      <colOff>474042</colOff>
      <row>9</row>
      <rowOff>476129</rowOff>
    </to>
    <pic>
      <nvPicPr>
        <cNvPr id="8" name="Picture 7"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342900" y="3529966"/>
          <a:ext cx="457713" cy="429592"/>
        </a:xfrm>
        <a:prstGeom xmlns:a="http://schemas.openxmlformats.org/drawingml/2006/main" prst="rect">
          <avLst/>
        </a:prstGeom>
        <a:ln xmlns:a="http://schemas.openxmlformats.org/drawingml/2006/main">
          <a:prstDash val="solid"/>
        </a:ln>
      </spPr>
    </pic>
    <clientData/>
  </twoCellAnchor>
  <twoCellAnchor editAs="oneCell">
    <from>
      <col>1</col>
      <colOff>97969</colOff>
      <row>1</row>
      <rowOff>32657</rowOff>
    </from>
    <to>
      <col>2</col>
      <colOff>664026</colOff>
      <row>1</row>
      <rowOff>740228</rowOff>
    </to>
    <pic>
      <nvPicPr>
        <cNvPr id="9" name="Picture 8"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83026" y="217714"/>
          <a:ext cx="707571" cy="707571"/>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33544</colOff>
      <row>1</row>
      <rowOff>174134</rowOff>
    </from>
    <to>
      <col>0</col>
      <colOff>801132</colOff>
      <row>2</row>
      <rowOff>745508</rowOff>
    </to>
    <pic>
      <nvPicPr>
        <cNvPr id="2" name="Picture 1"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48060" y="358489"/>
          <a:ext cx="767588" cy="748109"/>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954405</colOff>
      <row>2</row>
      <rowOff>27860</rowOff>
    </from>
    <to>
      <col>1</col>
      <colOff>1696810</colOff>
      <row>2</row>
      <rowOff>732891</rowOff>
    </to>
    <pic>
      <nvPicPr>
        <cNvPr id="6" name="Picture 5"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43702" y="385048"/>
          <a:ext cx="738595" cy="715191"/>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166549</colOff>
      <row>1</row>
      <rowOff>25037</rowOff>
    </from>
    <to>
      <col>2</col>
      <colOff>459335</colOff>
      <row>1</row>
      <rowOff>744038</rowOff>
    </to>
    <pic>
      <nvPicPr>
        <cNvPr id="2" name="Picture 1"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66549" y="207917"/>
          <a:ext cx="714647" cy="711381"/>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127001</colOff>
      <row>1</row>
      <rowOff>25401</rowOff>
    </from>
    <to>
      <col>2</col>
      <colOff>707390</colOff>
      <row>2</row>
      <rowOff>66932</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801" y="203201"/>
          <a:ext cx="723899" cy="806071"/>
        </a:xfrm>
        <a:prstGeom xmlns:a="http://schemas.openxmlformats.org/drawingml/2006/main" prst="rect">
          <avLst/>
        </a:prstGeom>
        <a:ln xmlns:a="http://schemas.openxmlformats.org/drawingml/2006/main">
          <a:prstDash val="solid"/>
        </a:ln>
      </spPr>
    </pic>
    <clientData/>
  </twoCellAnchor>
  <twoCellAnchor editAs="oneCell">
    <from>
      <col>1</col>
      <colOff>88901</colOff>
      <row>10</row>
      <rowOff>50802</rowOff>
    </from>
    <to>
      <col>2</col>
      <colOff>440690</colOff>
      <row>10</row>
      <rowOff>592164</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2">
          <clrChange>
            <clrFrom/>
            <clrTo/>
          </clrChange>
        </a:blip>
        <a:stretch xmlns:a="http://schemas.openxmlformats.org/drawingml/2006/main">
          <a:fillRect/>
        </a:stretch>
      </blipFill>
      <spPr>
        <a:xfrm xmlns:a="http://schemas.openxmlformats.org/drawingml/2006/main">
          <a:off x="266701" y="2527302"/>
          <a:ext cx="495299" cy="551522"/>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19/04/relationships/externalLinkLongPath" Target="https://newforesight.sharepoint.com/Users/Newforesight/Sync/000%20Projects%20-%20What%20we%20do/010%20Current%20projects/Palladium,%20Phase%201,%20Uganda%20Living%20Income%20Benchmarking/7.%20Tool/210615%20Living%20income%20proxy%20benchmarking%20tool%20v6%20DDM_AA.xlsx?5DFC0407" TargetMode="External" Id="rId2"/></Relationships>
</file>

<file path=xl/externalLinks/_rels/externalLink2.xml.rels><Relationships xmlns="http://schemas.openxmlformats.org/package/2006/relationships"><Relationship Type="http://schemas.openxmlformats.org/officeDocument/2006/relationships/externalLinkPath" Target="../../../../Users/Angie%20Lopez/Downloads/LW%20Benchmark%20tool_tax%20example.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Living wage"/>
      <sheetName val="Household"/>
      <sheetName val="Housing"/>
      <sheetName val="Decent house"/>
      <sheetName val="Cost of living survey"/>
      <sheetName val="CL filled in Survey"/>
      <sheetName val="Cost of living - Price analysis"/>
      <sheetName val="Food"/>
      <sheetName val="food - Price analysis"/>
      <sheetName val="NFNH"/>
      <sheetName val="LISTS"/>
      <sheetName val="Income tax"/>
      <sheetName val="ANKER - INPUTS &amp; Prelim Diet"/>
    </sheetNames>
    <sheetDataSet>
      <sheetData sheetId="0"/>
      <sheetData sheetId="1"/>
      <sheetData sheetId="2"/>
      <sheetData sheetId="3"/>
      <sheetData sheetId="4"/>
      <sheetData sheetId="5"/>
      <sheetData sheetId="6"/>
      <sheetData sheetId="7"/>
      <sheetData sheetId="8"/>
      <sheetData sheetId="9"/>
      <sheetData sheetId="10"/>
      <sheetData sheetId="11">
        <row r="5">
          <cell r="L5" t="str">
            <v>ZAR</v>
          </cell>
        </row>
        <row r="6">
          <cell r="F6" t="str">
            <v>Income</v>
          </cell>
          <cell r="G6" t="str">
            <v>Tax rate</v>
          </cell>
          <cell r="H6" t="str">
            <v>Cumulative tax</v>
          </cell>
        </row>
        <row r="7">
          <cell r="F7">
            <v>1</v>
          </cell>
          <cell r="G7">
            <v>0.18</v>
          </cell>
          <cell r="H7">
            <v>0</v>
          </cell>
        </row>
        <row r="8">
          <cell r="F8">
            <v>216200</v>
          </cell>
          <cell r="G8">
            <v>0.26</v>
          </cell>
          <cell r="H8">
            <v>38915.82</v>
          </cell>
        </row>
        <row r="9">
          <cell r="F9">
            <v>337800</v>
          </cell>
          <cell r="G9">
            <v>0.31</v>
          </cell>
          <cell r="H9">
            <v>70531.56</v>
          </cell>
        </row>
        <row r="10">
          <cell r="F10">
            <v>467500</v>
          </cell>
          <cell r="G10">
            <v>0.36</v>
          </cell>
          <cell r="H10">
            <v>110738.25</v>
          </cell>
        </row>
        <row r="11">
          <cell r="F11">
            <v>613600</v>
          </cell>
          <cell r="G11">
            <v>0.39</v>
          </cell>
          <cell r="H11">
            <v>163333.89000000001</v>
          </cell>
        </row>
        <row r="12">
          <cell r="F12">
            <v>782200</v>
          </cell>
          <cell r="G12">
            <v>0.41</v>
          </cell>
          <cell r="H12">
            <v>229087.5</v>
          </cell>
        </row>
      </sheetData>
      <sheetData sheetId="1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uidance"/>
      <sheetName val="OUTPUT_Living wage"/>
      <sheetName val="1. Setting the boundaries"/>
      <sheetName val="2. Housing costs"/>
      <sheetName val="Decent housing"/>
      <sheetName val="CLS - Input data"/>
      <sheetName val="3. Food costs"/>
      <sheetName val="Food costs - Input data"/>
      <sheetName val="Nutritional input"/>
      <sheetName val="4. NFNH costs"/>
      <sheetName val="Background calculations"/>
      <sheetName val="CPIs"/>
      <sheetName val="5. Income tax"/>
      <sheetName val="Calories"/>
      <sheetName val="5. Income tax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7">
          <cell r="F27" t="str">
            <v>Income</v>
          </cell>
          <cell r="G27" t="str">
            <v>Tax rate</v>
          </cell>
          <cell r="H27" t="str">
            <v>Cumulative tax</v>
          </cell>
        </row>
        <row r="28">
          <cell r="F28">
            <v>0</v>
          </cell>
          <cell r="G28">
            <v>0</v>
          </cell>
          <cell r="H28">
            <v>0</v>
          </cell>
        </row>
        <row r="29">
          <cell r="F29">
            <v>199038</v>
          </cell>
          <cell r="G29">
            <v>0.15</v>
          </cell>
          <cell r="H29">
            <v>1E-4</v>
          </cell>
        </row>
        <row r="30">
          <cell r="F30">
            <v>303499.90000000002</v>
          </cell>
          <cell r="G30">
            <v>0.2</v>
          </cell>
          <cell r="H30">
            <v>15669.063200000001</v>
          </cell>
        </row>
        <row r="31">
          <cell r="F31">
            <v>705813.76</v>
          </cell>
          <cell r="G31">
            <v>0.25</v>
          </cell>
          <cell r="H31">
            <v>96131.833300000028</v>
          </cell>
        </row>
        <row r="32">
          <cell r="F32">
            <v>999999999999</v>
          </cell>
          <cell r="H32">
            <v>249999919678.1409</v>
          </cell>
        </row>
      </sheetData>
      <sheetData sheetId="13"/>
      <sheetData sheetId="14"/>
    </sheetDataSet>
  </externalBook>
</externalLink>
</file>

<file path=xl/tables/table1.xml><?xml version="1.0" encoding="utf-8"?>
<table xmlns="http://schemas.openxmlformats.org/spreadsheetml/2006/main" id="1" name="Table2" displayName="Table2" ref="B147:Q200" headerRowCount="1" totalsRowShown="0" headerRowDxfId="32" dataDxfId="31">
  <autoFilter ref="B147:Q200"/>
  <tableColumns count="16">
    <tableColumn id="1" name="Category" dataDxfId="30">
      <calculatedColumnFormula>'Food costs - Input data'!B11</calculatedColumnFormula>
    </tableColumn>
    <tableColumn id="2" name="Item" dataDxfId="29">
      <calculatedColumnFormula>'Food costs - Input data'!C11</calculatedColumnFormula>
    </tableColumn>
    <tableColumn id="3" name="Availability" dataDxfId="28">
      <calculatedColumnFormula>COUNTA('Food costs - Input data'!D11:AB11)</calculatedColumnFormula>
    </tableColumn>
    <tableColumn id="4" name="Most availble in category" dataDxfId="27">
      <calculatedColumnFormula>_xlfn.MAXIFS(Table2[Availability],Table2[Category],Table2[[#This Row],[Category]])</calculatedColumnFormula>
    </tableColumn>
    <tableColumn id="5" name="Widely available?" dataDxfId="26">
      <calculatedColumnFormula>Table2[[#This Row],[Availability]] &gt;= 0.25*Table2[[#This Row],[Most availble in category]]</calculatedColumnFormula>
    </tableColumn>
    <tableColumn id="9" name="Energy (kcal) per 100g edible portion" dataDxfId="25">
      <calculatedColumnFormula>(Table2[[#This Row],[Protein (g)]] * 4 +Table2[[#This Row],[Fat, total (g)]] * 9 + Table2[[#This Row],[Carbohydrate (g)]] *4 )</calculatedColumnFormula>
    </tableColumn>
    <tableColumn id="10" name="Protein (g)" dataDxfId="24">
      <calculatedColumnFormula>'Nutritional input'!E30</calculatedColumnFormula>
    </tableColumn>
    <tableColumn id="11" name="Fat, total (g)" dataDxfId="23">
      <calculatedColumnFormula>'Nutritional input'!F30</calculatedColumnFormula>
    </tableColumn>
    <tableColumn id="12" name="Carbohydrate (g)" dataDxfId="22">
      <calculatedColumnFormula>'Nutritional input'!G30</calculatedColumnFormula>
    </tableColumn>
    <tableColumn id="13" name="Edible portion" dataDxfId="21">
      <calculatedColumnFormula>'Nutritional input'!H30</calculatedColumnFormula>
    </tableColumn>
    <tableColumn id="14" name="Price per calorie" dataDxfId="20" dataCellStyle="Comma">
      <calculatedColumnFormula>IFERROR((_xlfn.XLOOKUP(Table2[[#This Row],[Item]],'Food costs - Input data'!C:C,'Food costs - Input data'!AE:AE)/Table2[[#This Row],[Edible portion]]) / (10*Table2[[#This Row],[Energy (kcal) per 100g edible portion]]),0)</calculatedColumnFormula>
    </tableColumn>
    <tableColumn id="22" name="Caloric content2" dataDxfId="19">
      <calculatedColumnFormula array="1">SUMPRODUCT((Table2[Category]=Table2[[#This Row],[Category]])*(Table2[[#This Row],[Price per calorie]]&gt;Table2[Price per calorie]))+1</calculatedColumnFormula>
    </tableColumn>
    <tableColumn id="28" name="Count false" dataDxfId="18">
      <calculatedColumnFormula>IF(Table2[[#This Row],[Widely available?]]=FALSE,1,0)</calculatedColumnFormula>
    </tableColumn>
    <tableColumn id="29" name="subtract" dataDxfId="17">
      <calculatedColumnFormula>SUMIFS(Table2[Count false],Table2[Category],Table2[[#This Row],[Category]],Table2[Caloric content2],"&lt;"&amp;Table2[[#This Row],[Caloric content2]])</calculatedColumnFormula>
    </tableColumn>
    <tableColumn id="30" name="Final rank" dataDxfId="16">
      <calculatedColumnFormula>IF(Table2[[#This Row],[Widely available?]]=TRUE,Table2[[#This Row],[Caloric content2]]-Table2[[#This Row],[subtract]],0)</calculatedColumnFormula>
    </tableColumn>
    <tableColumn id="33" name="lookup" dataDxfId="15">
      <calculatedColumnFormula>IF(Table2[[#This Row],[Final rank]]&gt;0,Table2[[#This Row],[Category]]&amp;Table2[[#This Row],[Final rank]],"")</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www1.oanda.com/currency/converter/"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hyperlink" Target="https://globaldatalab.org/areadata/hhsize/?levels=1%2B2%2B3%2B5%2B4&amp;interpolation=1&amp;extrapolation=1&amp;extrapolation_years=3&amp;nearest_real=0" TargetMode="External" Id="rId1"/><Relationship Type="http://schemas.openxmlformats.org/officeDocument/2006/relationships/hyperlink" Target="https://rshiny.ilo.org/dataexplorer/?lang=en" TargetMode="Externa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hyperlink" Target="https://en.wikipedia.org/wiki/Average_human_height_by_country" TargetMode="External" Id="rId1"/><Relationship Type="http://schemas.openxmlformats.org/officeDocument/2006/relationships/hyperlink" Target="https://reedir.arsnet.usda.gov/codesearchwebapp/(S(quhg4cjj0v0s2mbsualpdgns))/codesearch.aspx" TargetMode="External" Id="rId2"/><Relationship Type="http://schemas.openxmlformats.org/officeDocument/2006/relationships/hyperlink" Target="http://www.fao.org/infoods/infoods/tables-and-databases/africa/en/" TargetMode="External" Id="rId3"/><Relationship Type="http://schemas.openxmlformats.org/officeDocument/2006/relationships/drawing" Target="/xl/drawings/drawing8.xml" Id="rId4"/></Relationships>
</file>

<file path=xl/worksheets/_rels/sheet10.xml.rels><Relationships xmlns="http://schemas.openxmlformats.org/package/2006/relationships"><Relationship Type="http://schemas.openxmlformats.org/officeDocument/2006/relationships/hyperlink" Target="https://data.imf.org/?sk=4FFB52B2-3653-409A-B471-D47B46D904B5&amp;sId=1485878802128" TargetMode="External" Id="rId1"/><Relationship Type="http://schemas.openxmlformats.org/officeDocument/2006/relationships/drawing" Target="/xl/drawings/drawing9.xml" Id="rId2"/></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theme="0" tint="-0.1499984740745262"/>
    <outlinePr summaryBelow="1" summaryRight="1"/>
    <pageSetUpPr/>
  </sheetPr>
  <dimension ref="C2:E30"/>
  <sheetViews>
    <sheetView showGridLines="0" zoomScale="77" zoomScaleNormal="77" workbookViewId="0">
      <selection activeCell="E30" sqref="E30"/>
    </sheetView>
  </sheetViews>
  <sheetFormatPr baseColWidth="10" defaultColWidth="8.83203125" defaultRowHeight="15"/>
  <cols>
    <col width="8.83203125" customWidth="1" style="354" min="1" max="2"/>
    <col width="27.83203125" customWidth="1" style="354" min="3" max="3"/>
    <col width="1.83203125" customWidth="1" style="354" min="4" max="4"/>
    <col width="107.5" customWidth="1" style="354" min="5" max="5"/>
    <col width="8.83203125" customWidth="1" style="354" min="6" max="10"/>
    <col width="19.83203125" customWidth="1" style="354" min="11" max="11"/>
    <col width="8.83203125" customWidth="1" style="354" min="12" max="16384"/>
  </cols>
  <sheetData>
    <row r="2" ht="62" customHeight="1">
      <c r="C2" s="378" t="inlineStr">
        <is>
          <t>Living Wage Benchmark</t>
        </is>
      </c>
    </row>
    <row r="4">
      <c r="C4" s="379" t="inlineStr">
        <is>
          <t>Descriptions of the tabs in the tool</t>
        </is>
      </c>
    </row>
    <row r="5">
      <c r="C5" s="380" t="n"/>
    </row>
    <row r="6">
      <c r="C6" s="380" t="inlineStr">
        <is>
          <t>Tab</t>
        </is>
      </c>
      <c r="E6" s="381" t="inlineStr">
        <is>
          <t>Description</t>
        </is>
      </c>
    </row>
    <row r="7">
      <c r="C7" s="382" t="inlineStr">
        <is>
          <t>OUTPUT_Living Wage</t>
        </is>
      </c>
      <c r="E7" s="383" t="inlineStr">
        <is>
          <t>Overall results of the Living Income Benchmarks.</t>
        </is>
      </c>
    </row>
    <row r="8">
      <c r="C8" s="384" t="inlineStr">
        <is>
          <t>1. Setting the boundaries</t>
        </is>
      </c>
      <c r="E8" s="383" t="inlineStr">
        <is>
          <t>Define the Reference Household size and geographical focus for the calculation of the LW Benchmark</t>
        </is>
      </c>
    </row>
    <row r="9">
      <c r="C9" s="384" t="inlineStr">
        <is>
          <t>2. Housing costs</t>
        </is>
      </c>
      <c r="E9" s="383" t="inlineStr">
        <is>
          <t>Overview of Housing cost results</t>
        </is>
      </c>
    </row>
    <row r="10">
      <c r="C10" s="385" t="inlineStr">
        <is>
          <t>CLS - Input data</t>
        </is>
      </c>
      <c r="E10" s="383" t="inlineStr">
        <is>
          <t>Input sheet for the Cost of Living Survey (CLS)</t>
        </is>
      </c>
    </row>
    <row r="11">
      <c r="C11" s="385" t="inlineStr">
        <is>
          <t>Decent Housing</t>
        </is>
      </c>
      <c r="E11" s="383" t="inlineStr">
        <is>
          <t>Input sheet for the evaluation of local decent housing criteria</t>
        </is>
      </c>
    </row>
    <row r="12">
      <c r="C12" s="384" t="inlineStr">
        <is>
          <t>3. Food costs</t>
        </is>
      </c>
      <c r="E12" s="383" t="inlineStr">
        <is>
          <t>Overview of Food Costs results based on a model diet and a referenced sized household</t>
        </is>
      </c>
    </row>
    <row r="13">
      <c r="C13" s="385" t="inlineStr">
        <is>
          <t>Food costs - Input data</t>
        </is>
      </c>
      <c r="E13" s="383" t="inlineStr">
        <is>
          <t>Input sheet for food prices from the the Food Price Survey</t>
        </is>
      </c>
    </row>
    <row r="14">
      <c r="C14" s="385" t="inlineStr">
        <is>
          <t>Nutritional input</t>
        </is>
      </c>
      <c r="E14" s="383" t="inlineStr">
        <is>
          <t>Define and adjust the required calorie intake and nutritional values of food</t>
        </is>
      </c>
    </row>
    <row r="15">
      <c r="C15" s="384" t="inlineStr">
        <is>
          <t>4. NFNH costs</t>
        </is>
      </c>
      <c r="E15" s="383" t="inlineStr">
        <is>
          <t>Non-Food Non Housing cost estimation based on the expenditure weights of a consumer price index (CPI)</t>
        </is>
      </c>
    </row>
    <row r="16">
      <c r="C16" s="386" t="inlineStr">
        <is>
          <t>Income tax</t>
        </is>
      </c>
      <c r="E16" s="383" t="inlineStr">
        <is>
          <t>Calculation of the income tax. Adapt and adjust tax brackets and tax rates.</t>
        </is>
      </c>
    </row>
    <row r="17">
      <c r="C17" s="384" t="inlineStr">
        <is>
          <t>Background calculations</t>
        </is>
      </c>
      <c r="E17" s="383" t="inlineStr">
        <is>
          <t xml:space="preserve">This tab presents the detailed logics and calculations applied throughout the model. </t>
        </is>
      </c>
    </row>
    <row r="20">
      <c r="C20" s="380" t="inlineStr">
        <is>
          <t>CELL LEGEND</t>
        </is>
      </c>
      <c r="E20" s="381" t="inlineStr">
        <is>
          <t>Instructions</t>
        </is>
      </c>
    </row>
    <row r="21">
      <c r="C21" s="387" t="inlineStr">
        <is>
          <t>input open</t>
        </is>
      </c>
      <c r="E21" s="383" t="inlineStr">
        <is>
          <t>The user must insert a value in these cells, either gathered from primary or secondary data collection</t>
        </is>
      </c>
    </row>
    <row r="22">
      <c r="C22" s="388" t="inlineStr">
        <is>
          <t>input dropdown selection</t>
        </is>
      </c>
      <c r="E22" s="383" t="inlineStr">
        <is>
          <t>The user must insert a value in these cells by selecting one of the options in the dropdown menu</t>
        </is>
      </c>
    </row>
    <row r="23">
      <c r="C23" s="389" t="inlineStr">
        <is>
          <t>Calculated</t>
        </is>
      </c>
      <c r="E23" s="383" t="inlineStr">
        <is>
          <t>These are values calculated by the tool. Do not edit these cells.</t>
        </is>
      </c>
    </row>
    <row r="24">
      <c r="C24" s="390" t="inlineStr">
        <is>
          <t>Assumptions</t>
        </is>
      </c>
      <c r="E24" s="383" t="inlineStr">
        <is>
          <t>These are assumptions based on publicly available sources. Do not edit these cells</t>
        </is>
      </c>
    </row>
    <row r="28">
      <c r="C28" s="380" t="inlineStr">
        <is>
          <t>Model Maintenance</t>
        </is>
      </c>
      <c r="E28" s="381" t="inlineStr">
        <is>
          <t>Guidance</t>
        </is>
      </c>
    </row>
    <row r="29" ht="50.5" customHeight="1">
      <c r="E29" s="391" t="inlineStr">
        <is>
          <t>All cells (excluding inputs) and calculations are blocked. Users are not allowed to add any rows or columns (except for the food cost tab, if necessary). We strongly recommend to keep the excel file protected to avoid structural changes to the model.</t>
        </is>
      </c>
    </row>
    <row r="30" ht="42" customHeight="1">
      <c r="E30" s="391" t="inlineStr">
        <is>
          <t xml:space="preserve">If needed, it is possible to remove the cell protection by clicking on "unprotect sheet" in the Review function in the tool bar above. The password is provided below. </t>
        </is>
      </c>
    </row>
  </sheetData>
  <hyperlinks>
    <hyperlink ref="C8" location="'1. Setting the boundaries'!A1" display="1. Setting the boundaries"/>
    <hyperlink ref="C9" location="'2. Housing costs'!A1" display="2. Housing costs"/>
    <hyperlink ref="C10" location="'CLS - Input data'!A1" display="CLS - Input data"/>
    <hyperlink ref="C11" location="'Decent housing'!A1" display="Decent Housing"/>
    <hyperlink ref="C12" location="'3. Food costs'!A1" display="3. Food costs"/>
    <hyperlink ref="C13" location="'Food costs - Input data'!A1" display="Food costs - Input data"/>
    <hyperlink ref="C14" location="'Nutritional input'!A1" display="Nutritional input"/>
    <hyperlink ref="C15" location="'4. NFNH costs'!A1" display="4. NFNH costs"/>
    <hyperlink ref="C16" location="'5. Income tax'!A1" display="Income tax"/>
    <hyperlink ref="C17" location="'Background calculations'!A1" display="Background calculations"/>
  </hyperlink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theme="8" tint="-0.499984740745262"/>
    <outlinePr summaryBelow="1" summaryRight="1"/>
    <pageSetUpPr/>
  </sheetPr>
  <dimension ref="B2:J55"/>
  <sheetViews>
    <sheetView showGridLines="0" topLeftCell="A22" zoomScale="60" zoomScaleNormal="80" workbookViewId="0">
      <selection activeCell="O22" sqref="O22"/>
    </sheetView>
  </sheetViews>
  <sheetFormatPr baseColWidth="10" defaultColWidth="8.83203125" defaultRowHeight="15"/>
  <cols>
    <col width="4.83203125" customWidth="1" style="22" min="1" max="1"/>
    <col width="1.5" customWidth="1" style="22" min="2" max="2"/>
    <col width="37.1640625" customWidth="1" style="22" min="3" max="3"/>
    <col width="13.83203125" customWidth="1" style="22" min="4" max="4"/>
    <col width="18.1640625" customWidth="1" style="22" min="5" max="5"/>
    <col width="8.1640625" bestFit="1" customWidth="1" style="22" min="6" max="6"/>
    <col width="18.1640625" customWidth="1" style="22" min="7" max="7"/>
    <col width="3.83203125" customWidth="1" style="22" min="8" max="8"/>
    <col width="11.1640625" customWidth="1" style="22" min="9" max="9"/>
    <col width="85.83203125" customWidth="1" style="22" min="10" max="10"/>
    <col width="17.1640625" customWidth="1" style="22" min="11" max="11"/>
    <col width="8.83203125" customWidth="1" style="22" min="12" max="13"/>
    <col width="24.1640625" customWidth="1" style="22" min="14" max="14"/>
    <col width="8.83203125" customWidth="1" style="22" min="15" max="16384"/>
  </cols>
  <sheetData>
    <row r="2" ht="62" customHeight="1">
      <c r="C2" s="21" t="inlineStr">
        <is>
          <t>Living Wage Benchmark</t>
        </is>
      </c>
    </row>
    <row r="4">
      <c r="I4" s="147" t="inlineStr">
        <is>
          <t>Source</t>
        </is>
      </c>
      <c r="J4" s="160" t="inlineStr">
        <is>
          <t>Instructions</t>
        </is>
      </c>
    </row>
    <row r="5">
      <c r="C5" s="22" t="inlineStr">
        <is>
          <t>Country</t>
        </is>
      </c>
      <c r="E5" s="266" t="inlineStr">
        <is>
          <t>UGANDA</t>
        </is>
      </c>
      <c r="I5" s="279" t="n"/>
      <c r="J5" s="280" t="inlineStr">
        <is>
          <t>Write the country of study</t>
        </is>
      </c>
    </row>
    <row r="6">
      <c r="C6" s="22" t="inlineStr">
        <is>
          <t>Region</t>
        </is>
      </c>
      <c r="E6" s="266" t="inlineStr">
        <is>
          <t>Central Uganda</t>
        </is>
      </c>
      <c r="I6" s="279" t="n"/>
      <c r="J6" s="280" t="inlineStr">
        <is>
          <t>Write the region of study</t>
        </is>
      </c>
    </row>
    <row r="7">
      <c r="C7" s="22" t="inlineStr">
        <is>
          <t>Zone</t>
        </is>
      </c>
      <c r="E7" s="244" t="inlineStr">
        <is>
          <t>Rural</t>
        </is>
      </c>
      <c r="I7" s="279" t="n"/>
      <c r="J7" s="280" t="inlineStr">
        <is>
          <t>Do not  directly edit cell E7. You can change the zone in "1. Setting the boundaries" tab</t>
        </is>
      </c>
    </row>
    <row r="10">
      <c r="C10" s="22" t="inlineStr">
        <is>
          <t>Exchange rate</t>
        </is>
      </c>
      <c r="D10" s="22" t="inlineStr">
        <is>
          <t>LCU to USD</t>
        </is>
      </c>
      <c r="E10" s="443" t="n">
        <v>3675</v>
      </c>
      <c r="I10" s="281" t="inlineStr">
        <is>
          <t>LINK</t>
        </is>
      </c>
      <c r="J10" s="280" t="inlineStr">
        <is>
          <t>Gather the most recent exchange rate from the source provided</t>
        </is>
      </c>
    </row>
    <row r="12" ht="16" customHeight="1" thickBot="1"/>
    <row r="13" ht="22" customHeight="1" thickTop="1">
      <c r="B13" s="282" t="n"/>
      <c r="C13" s="283" t="inlineStr">
        <is>
          <t>Reference Household size</t>
        </is>
      </c>
      <c r="D13" s="284" t="n"/>
      <c r="E13" s="284" t="n"/>
      <c r="F13" s="285" t="n"/>
      <c r="J13" s="160" t="inlineStr">
        <is>
          <t>Instructions</t>
        </is>
      </c>
    </row>
    <row r="14">
      <c r="B14" s="286" t="n"/>
      <c r="F14" s="287" t="n"/>
    </row>
    <row r="15">
      <c r="B15" s="286" t="n"/>
      <c r="E15" s="288" t="inlineStr">
        <is>
          <t>Personalized</t>
        </is>
      </c>
      <c r="F15" s="287" t="n"/>
      <c r="J15" s="399" t="inlineStr">
        <is>
          <t>Use the drop down menu in cell E15 to select betwee nthe calculated reference household size or the personalized household sice</t>
        </is>
      </c>
    </row>
    <row r="16">
      <c r="B16" s="286" t="n"/>
      <c r="F16" s="287" t="n"/>
      <c r="J16" s="22" t="n"/>
    </row>
    <row r="17">
      <c r="B17" s="286" t="n"/>
      <c r="F17" s="287" t="n"/>
    </row>
    <row r="18" ht="19" customHeight="1">
      <c r="B18" s="286" t="n"/>
      <c r="C18" s="289" t="inlineStr">
        <is>
          <t>Number of adults</t>
        </is>
      </c>
      <c r="E18" s="444">
        <f>IF($E$15='Background calculations'!$B$11,'1. Setting the boundaries'!D25 + '1. Setting the boundaries'!D26,'1. Setting the boundaries'!D16)</f>
        <v/>
      </c>
      <c r="F18" s="287" t="n"/>
      <c r="J18" s="399" t="inlineStr">
        <is>
          <t>The personalized household size can be edited in the 1. Setting the boundaries tab in cells D25 - D28</t>
        </is>
      </c>
    </row>
    <row r="19" ht="19" customHeight="1">
      <c r="B19" s="286" t="n"/>
      <c r="C19" s="289" t="inlineStr">
        <is>
          <t>Number of children</t>
        </is>
      </c>
      <c r="E19" s="444">
        <f>IF($E$15='Background calculations'!$B$11,'1. Setting the boundaries'!D27,'1. Setting the boundaries'!D17)</f>
        <v/>
      </c>
      <c r="F19" s="287" t="n"/>
      <c r="J19" s="22" t="n"/>
    </row>
    <row r="20" ht="19" customHeight="1">
      <c r="B20" s="286" t="n"/>
      <c r="C20" s="289" t="inlineStr">
        <is>
          <t>Number of working adults</t>
        </is>
      </c>
      <c r="E20" s="444">
        <f>IF($E$15='Background calculations'!$B$11,'1. Setting the boundaries'!D28,'1. Setting the boundaries'!D18)</f>
        <v/>
      </c>
      <c r="F20" s="287" t="n"/>
    </row>
    <row r="21" ht="9" customHeight="1" thickBot="1">
      <c r="B21" s="291" t="n"/>
      <c r="C21" s="292" t="n"/>
      <c r="D21" s="292" t="n"/>
      <c r="E21" s="292" t="n"/>
      <c r="F21" s="293" t="n"/>
    </row>
    <row r="22" ht="17" customHeight="1" thickTop="1">
      <c r="F22" s="294">
        <f>SUM(E27:E29)*5%</f>
        <v/>
      </c>
    </row>
    <row r="23" ht="16" customHeight="1" thickBot="1"/>
    <row r="24" ht="22" customHeight="1" thickTop="1">
      <c r="B24" s="282" t="n"/>
      <c r="C24" s="283" t="inlineStr">
        <is>
          <t>Living Income benchmark - Monthly results</t>
        </is>
      </c>
      <c r="D24" s="284" t="n"/>
      <c r="E24" s="284" t="n"/>
      <c r="F24" s="284" t="n"/>
      <c r="G24" s="284" t="n"/>
      <c r="H24" s="285" t="n"/>
    </row>
    <row r="25">
      <c r="B25" s="286" t="n"/>
      <c r="H25" s="287" t="n"/>
    </row>
    <row r="26">
      <c r="B26" s="286" t="n"/>
      <c r="E26" s="436" t="inlineStr">
        <is>
          <t>LCU/month</t>
        </is>
      </c>
      <c r="G26" s="436" t="inlineStr">
        <is>
          <t>USD/month</t>
        </is>
      </c>
      <c r="H26" s="287" t="n"/>
      <c r="I26" s="22" t="inlineStr">
        <is>
          <t>?</t>
        </is>
      </c>
    </row>
    <row r="27" ht="16" customHeight="1">
      <c r="B27" s="286" t="n"/>
      <c r="C27" s="57" t="inlineStr">
        <is>
          <t>Housing</t>
        </is>
      </c>
      <c r="E27" s="294">
        <f>'2. Housing costs'!D13</f>
        <v/>
      </c>
      <c r="F27" s="57" t="n"/>
      <c r="G27" s="445">
        <f>IFERROR(E27/$E$10,"")</f>
        <v/>
      </c>
      <c r="H27" s="287" t="n"/>
    </row>
    <row r="28" ht="16" customHeight="1">
      <c r="B28" s="286" t="n"/>
      <c r="C28" s="57" t="inlineStr">
        <is>
          <t>Food</t>
        </is>
      </c>
      <c r="E28" s="294">
        <f>'3. Food costs'!E14</f>
        <v/>
      </c>
      <c r="F28" s="57" t="n"/>
      <c r="G28" s="445">
        <f>IFERROR(E28/$E$10,"")</f>
        <v/>
      </c>
      <c r="H28" s="287" t="n"/>
    </row>
    <row r="29" ht="16" customHeight="1">
      <c r="B29" s="286" t="n"/>
      <c r="C29" s="57" t="inlineStr">
        <is>
          <t>NFNH</t>
        </is>
      </c>
      <c r="E29" s="294">
        <f>'4. NFNH costs'!E16</f>
        <v/>
      </c>
      <c r="F29" s="57" t="n"/>
      <c r="G29" s="445">
        <f>IFERROR(E29/$E$10,"")</f>
        <v/>
      </c>
      <c r="H29" s="287" t="n"/>
    </row>
    <row r="30" ht="16" customHeight="1">
      <c r="B30" s="286" t="n"/>
      <c r="C30" s="57" t="inlineStr">
        <is>
          <t>Cost of elder care</t>
        </is>
      </c>
      <c r="E30" s="294">
        <f>SUM(E27:E29)*5%</f>
        <v/>
      </c>
      <c r="F30" s="57" t="n"/>
      <c r="G30" s="445">
        <f>IFERROR(E30/$E$10,"")</f>
        <v/>
      </c>
      <c r="H30" s="287" t="n"/>
    </row>
    <row r="31" ht="16" customHeight="1">
      <c r="B31" s="286" t="n"/>
      <c r="C31" s="57" t="inlineStr">
        <is>
          <t>Margins (unexpected events)</t>
        </is>
      </c>
      <c r="E31" s="294">
        <f>SUM(E28:E30)*5%</f>
        <v/>
      </c>
      <c r="F31" s="57" t="n"/>
      <c r="G31" s="445">
        <f>IFERROR(E31/$E$10,"")</f>
        <v/>
      </c>
      <c r="H31" s="287" t="n"/>
    </row>
    <row r="32" ht="16" customHeight="1">
      <c r="B32" s="286" t="n"/>
      <c r="C32" s="57" t="n"/>
      <c r="E32" s="57" t="n"/>
      <c r="F32" s="57" t="n"/>
      <c r="G32" s="296" t="n"/>
      <c r="H32" s="287" t="n"/>
    </row>
    <row r="33" ht="40" customHeight="1">
      <c r="B33" s="286" t="n"/>
      <c r="C33" s="297" t="inlineStr">
        <is>
          <t>Cost of basic but decent life for a typical household</t>
        </is>
      </c>
      <c r="D33" s="74" t="n"/>
      <c r="E33" s="298">
        <f>SUM(E27:E31)</f>
        <v/>
      </c>
      <c r="F33" s="299" t="n"/>
      <c r="G33" s="298">
        <f>SUM(G27:G31)</f>
        <v/>
      </c>
      <c r="H33" s="287" t="n"/>
    </row>
    <row r="34" ht="17" customHeight="1" thickBot="1">
      <c r="B34" s="286" t="n"/>
      <c r="E34" s="57" t="n"/>
      <c r="F34" s="57" t="n"/>
      <c r="G34" s="296" t="n"/>
      <c r="H34" s="287" t="n"/>
    </row>
    <row r="35" ht="63" customHeight="1" thickBot="1">
      <c r="B35" s="286" t="n"/>
      <c r="C35" s="300" t="inlineStr">
        <is>
          <t>Net living wage (1 FTE sustaining the Reference Household)</t>
        </is>
      </c>
      <c r="D35" s="301" t="n"/>
      <c r="E35" s="302">
        <f>IFERROR(E33/E20,"")</f>
        <v/>
      </c>
      <c r="F35" s="303" t="n"/>
      <c r="G35" s="302">
        <f>IFERROR(G33/E20,"")</f>
        <v/>
      </c>
      <c r="H35" s="287" t="n"/>
    </row>
    <row r="36" ht="19" customHeight="1">
      <c r="B36" s="286" t="n"/>
      <c r="C36" s="304" t="n"/>
      <c r="D36" s="305" t="n"/>
      <c r="E36" s="57" t="n"/>
      <c r="F36" s="57" t="n"/>
      <c r="G36" s="296" t="n"/>
      <c r="H36" s="287" t="n"/>
    </row>
    <row r="37" ht="19" customHeight="1">
      <c r="B37" s="286" t="n"/>
      <c r="C37" s="289" t="inlineStr">
        <is>
          <t>Income tax</t>
        </is>
      </c>
      <c r="E37" s="294">
        <f>+'5. Income tax'!D23</f>
        <v/>
      </c>
      <c r="F37" s="57" t="n"/>
      <c r="G37" s="306">
        <f>IFERROR(E37/E10,"")</f>
        <v/>
      </c>
      <c r="H37" s="287" t="n"/>
    </row>
    <row r="38" ht="20" customHeight="1" thickBot="1">
      <c r="B38" s="286" t="n"/>
      <c r="C38" s="289" t="n"/>
      <c r="E38" s="57" t="n"/>
      <c r="F38" s="57" t="n"/>
      <c r="G38" s="296" t="n"/>
      <c r="H38" s="287" t="n"/>
    </row>
    <row r="39" ht="41" customHeight="1" thickBot="1">
      <c r="B39" s="286" t="n"/>
      <c r="C39" s="307" t="inlineStr">
        <is>
          <t>Gross living wage (1 FTE sustaining the Reference Household)</t>
        </is>
      </c>
      <c r="D39" s="301" t="n"/>
      <c r="E39" s="302">
        <f>+'5. Income tax'!$D$19/12</f>
        <v/>
      </c>
      <c r="F39" s="303" t="n"/>
      <c r="G39" s="302">
        <f>IFERROR(G35+G37,"")</f>
        <v/>
      </c>
      <c r="H39" s="287" t="n"/>
      <c r="J39" s="332" t="n"/>
    </row>
    <row r="40" ht="16" customHeight="1" thickBot="1">
      <c r="B40" s="291" t="n"/>
      <c r="C40" s="292" t="n"/>
      <c r="D40" s="292" t="n"/>
      <c r="E40" s="292" t="n"/>
      <c r="F40" s="292" t="n"/>
      <c r="G40" s="292" t="n"/>
      <c r="H40" s="293" t="n"/>
    </row>
    <row r="41" ht="17" customHeight="1" thickBot="1" thickTop="1"/>
    <row r="42" ht="22" customHeight="1" thickTop="1">
      <c r="B42" s="282" t="n"/>
      <c r="C42" s="283" t="inlineStr">
        <is>
          <t>Living Income benchmark - Yearly results</t>
        </is>
      </c>
      <c r="D42" s="284" t="n"/>
      <c r="E42" s="284" t="n"/>
      <c r="F42" s="284" t="n"/>
      <c r="G42" s="284" t="n"/>
      <c r="H42" s="285" t="n"/>
    </row>
    <row r="43" customFormat="1" s="163">
      <c r="B43" s="286" t="n"/>
      <c r="C43" s="22" t="n"/>
      <c r="D43" s="22" t="n"/>
      <c r="E43" s="22" t="n"/>
      <c r="F43" s="22" t="n"/>
      <c r="G43" s="22" t="n"/>
      <c r="H43" s="287" t="n"/>
      <c r="I43" s="22" t="n"/>
      <c r="J43" s="368" t="n"/>
    </row>
    <row r="44" customFormat="1" s="163">
      <c r="B44" s="286" t="n"/>
      <c r="C44" s="22" t="n"/>
      <c r="D44" s="22" t="n"/>
      <c r="E44" s="436" t="inlineStr">
        <is>
          <t>LCU/year</t>
        </is>
      </c>
      <c r="F44" s="22" t="n"/>
      <c r="G44" s="436" t="inlineStr">
        <is>
          <t>USD/year</t>
        </is>
      </c>
      <c r="H44" s="287" t="n"/>
      <c r="I44" s="22" t="n"/>
    </row>
    <row r="45" ht="16" customFormat="1" customHeight="1" s="163">
      <c r="B45" s="286" t="n"/>
      <c r="C45" s="57" t="inlineStr">
        <is>
          <t>Housing</t>
        </is>
      </c>
      <c r="D45" s="22" t="n"/>
      <c r="E45" s="308">
        <f>IFERROR(E27*12,"")</f>
        <v/>
      </c>
      <c r="F45" s="309" t="n"/>
      <c r="G45" s="446">
        <f>IFERROR(G27*12,"")</f>
        <v/>
      </c>
      <c r="H45" s="287" t="n"/>
      <c r="I45" s="22" t="n"/>
    </row>
    <row r="46" ht="16" customFormat="1" customHeight="1" s="163">
      <c r="B46" s="286" t="n"/>
      <c r="C46" s="57" t="inlineStr">
        <is>
          <t>Food</t>
        </is>
      </c>
      <c r="D46" s="22" t="n"/>
      <c r="E46" s="308">
        <f>IFERROR(E28*12,"")</f>
        <v/>
      </c>
      <c r="F46" s="309" t="n"/>
      <c r="G46" s="446">
        <f>IFERROR(G28*12,"")</f>
        <v/>
      </c>
      <c r="H46" s="287" t="n"/>
      <c r="I46" s="22" t="n"/>
    </row>
    <row r="47" ht="16" customFormat="1" customHeight="1" s="163">
      <c r="B47" s="286" t="n"/>
      <c r="C47" s="57" t="inlineStr">
        <is>
          <t>NFNH</t>
        </is>
      </c>
      <c r="D47" s="22" t="n"/>
      <c r="E47" s="308">
        <f>IFERROR(E29*12,"")</f>
        <v/>
      </c>
      <c r="F47" s="309" t="n"/>
      <c r="G47" s="446">
        <f>IFERROR(G29*12,"")</f>
        <v/>
      </c>
      <c r="H47" s="287" t="n"/>
      <c r="I47" s="22" t="n"/>
    </row>
    <row r="48" ht="16" customFormat="1" customHeight="1" s="163">
      <c r="B48" s="286" t="n"/>
      <c r="C48" s="57" t="inlineStr">
        <is>
          <t>Cost of elder care</t>
        </is>
      </c>
      <c r="D48" s="22" t="n"/>
      <c r="E48" s="308">
        <f>IFERROR(E30*12,"")</f>
        <v/>
      </c>
      <c r="F48" s="309" t="n"/>
      <c r="G48" s="446">
        <f>IFERROR(G30*12,"")</f>
        <v/>
      </c>
      <c r="H48" s="287" t="n"/>
      <c r="I48" s="22" t="n"/>
    </row>
    <row r="49" customFormat="1" s="163">
      <c r="B49" s="286" t="n"/>
      <c r="C49" s="57" t="inlineStr">
        <is>
          <t>Margins (unexpected events)</t>
        </is>
      </c>
      <c r="D49" s="22" t="n"/>
      <c r="E49" s="308">
        <f>IFERROR(E31*12,"")</f>
        <v/>
      </c>
      <c r="F49" s="309" t="n"/>
      <c r="G49" s="446">
        <f>IFERROR(G31*12,"")</f>
        <v/>
      </c>
      <c r="H49" s="287" t="n"/>
      <c r="I49" s="22" t="n"/>
    </row>
    <row r="50" ht="34" customFormat="1" customHeight="1" s="163">
      <c r="B50" s="286" t="n"/>
      <c r="C50" s="311" t="inlineStr">
        <is>
          <t>Cost of basic but decent life for a typical household</t>
        </is>
      </c>
      <c r="D50" s="22" t="n"/>
      <c r="E50" s="308">
        <f>SUM(E45:E49)</f>
        <v/>
      </c>
      <c r="F50" s="309" t="n"/>
      <c r="G50" s="446">
        <f>SUM(G45:G49)</f>
        <v/>
      </c>
      <c r="H50" s="287" t="n"/>
      <c r="I50" s="22" t="n"/>
    </row>
    <row r="51">
      <c r="B51" s="286" t="n"/>
      <c r="C51" s="163" t="n"/>
      <c r="D51" s="163" t="n"/>
      <c r="E51" s="312" t="n"/>
      <c r="F51" s="312" t="n"/>
      <c r="G51" s="312" t="n"/>
      <c r="H51" s="287" t="n"/>
    </row>
    <row r="52" ht="19" customHeight="1">
      <c r="B52" s="286" t="n"/>
      <c r="C52" s="289" t="inlineStr">
        <is>
          <t>Income tax</t>
        </is>
      </c>
      <c r="E52" s="313">
        <f>IFERROR(E37*12,"")</f>
        <v/>
      </c>
      <c r="F52" s="309" t="n"/>
      <c r="G52" s="313">
        <f>IFERROR(G37*12,"")</f>
        <v/>
      </c>
      <c r="H52" s="287" t="n"/>
    </row>
    <row r="53" ht="20" customHeight="1" thickBot="1">
      <c r="B53" s="286" t="n"/>
      <c r="C53" s="289" t="n"/>
      <c r="E53" s="309" t="n"/>
      <c r="F53" s="309" t="n"/>
      <c r="G53" s="314" t="n"/>
      <c r="H53" s="287" t="n"/>
    </row>
    <row r="54" ht="41" customHeight="1" thickBot="1">
      <c r="B54" s="286" t="n"/>
      <c r="C54" s="307" t="inlineStr">
        <is>
          <t>Gross living wage (1 FTE sustaining the Reference Household)</t>
        </is>
      </c>
      <c r="D54" s="301" t="n"/>
      <c r="E54" s="302">
        <f>IFERROR(E50+E52,"")</f>
        <v/>
      </c>
      <c r="F54" s="303" t="n"/>
      <c r="G54" s="393">
        <f>IFERROR(G50+G52,"")</f>
        <v/>
      </c>
      <c r="H54" s="287" t="n"/>
    </row>
    <row r="55" ht="16" customHeight="1" thickBot="1">
      <c r="B55" s="291" t="n"/>
      <c r="C55" s="292" t="n"/>
      <c r="D55" s="292" t="n"/>
      <c r="E55" s="292" t="n"/>
      <c r="F55" s="292" t="n"/>
      <c r="G55" s="292" t="n"/>
      <c r="H55" s="293" t="n"/>
    </row>
    <row r="56" ht="16" customHeight="1" thickTop="1"/>
  </sheetData>
  <mergeCells count="2">
    <mergeCell ref="J18:J19"/>
    <mergeCell ref="J15:J16"/>
  </mergeCells>
  <dataValidations count="2">
    <dataValidation sqref="E7" showDropDown="0" showInputMessage="1" showErrorMessage="1" allowBlank="1" type="list">
      <formula1>"Urban, Peri-urban, Rural"</formula1>
    </dataValidation>
    <dataValidation sqref="E15" showDropDown="0" showInputMessage="0" showErrorMessage="0" allowBlank="1" type="list">
      <formula1>='Background calculations'!$B$10:$B$11</formula1>
    </dataValidation>
  </dataValidations>
  <hyperlinks>
    <hyperlink xmlns:r="http://schemas.openxmlformats.org/officeDocument/2006/relationships" ref="I10" r:id="rId1"/>
  </hyperlinks>
  <pageMargins left="0.7" right="0.7" top="0.75" bottom="0.75" header="0.3" footer="0.3"/>
  <pageSetup orientation="landscape"/>
  <drawing xmlns:r="http://schemas.openxmlformats.org/officeDocument/2006/relationships" r:id="rId2"/>
</worksheet>
</file>

<file path=xl/worksheets/sheet3.xml><?xml version="1.0" encoding="utf-8"?>
<worksheet xmlns="http://schemas.openxmlformats.org/spreadsheetml/2006/main">
  <sheetPr>
    <tabColor theme="5"/>
    <outlinePr summaryBelow="1" summaryRight="1"/>
    <pageSetUpPr/>
  </sheetPr>
  <dimension ref="B2:J68"/>
  <sheetViews>
    <sheetView showGridLines="0" topLeftCell="A25" zoomScale="69" zoomScaleNormal="86" workbookViewId="0">
      <selection activeCell="I40" sqref="I40"/>
    </sheetView>
  </sheetViews>
  <sheetFormatPr baseColWidth="10" defaultColWidth="8.83203125" defaultRowHeight="15"/>
  <cols>
    <col width="2.83203125" customWidth="1" style="22" min="1" max="1"/>
    <col width="3.1640625" customWidth="1" style="22" min="2" max="2"/>
    <col width="42.1640625" customWidth="1" style="22" min="3" max="3"/>
    <col width="14.1640625" customWidth="1" style="22" min="4" max="4"/>
    <col width="11.1640625" customWidth="1" style="22" min="5" max="5"/>
    <col width="15.1640625" customWidth="1" style="22" min="6" max="6"/>
    <col width="3.1640625" customWidth="1" style="22" min="7" max="7"/>
    <col width="1.83203125" customWidth="1" style="22" min="8" max="8"/>
    <col width="169.5" customWidth="1" style="22" min="9" max="9"/>
    <col width="28.1640625" customWidth="1" style="22" min="10" max="10"/>
    <col width="8.83203125" customWidth="1" style="22" min="11" max="16384"/>
  </cols>
  <sheetData>
    <row r="2" ht="62" customHeight="1">
      <c r="B2" s="21" t="inlineStr">
        <is>
          <t>Setting the boundaries of the study</t>
        </is>
      </c>
    </row>
    <row r="5" ht="21" customHeight="1">
      <c r="B5" s="120" t="inlineStr">
        <is>
          <t>1) DEFINE GEOGRAPHICAL FOCUS</t>
        </is>
      </c>
      <c r="C5" s="121" t="n"/>
      <c r="D5" s="122" t="n"/>
      <c r="E5" s="122" t="n"/>
      <c r="F5" s="122" t="n"/>
      <c r="G5" s="122" t="n"/>
      <c r="H5" s="122" t="n"/>
      <c r="I5" s="122" t="n"/>
    </row>
    <row r="7">
      <c r="I7" s="160" t="inlineStr">
        <is>
          <t>Instructions</t>
        </is>
      </c>
    </row>
    <row r="8">
      <c r="C8" s="22" t="inlineStr">
        <is>
          <t>Zone:</t>
        </is>
      </c>
      <c r="D8" s="253" t="inlineStr">
        <is>
          <t>Rural</t>
        </is>
      </c>
      <c r="E8" s="254" t="n"/>
      <c r="I8" s="255" t="inlineStr">
        <is>
          <t>Select one zone for the study from the drop-down menu (urban, peri-urban, rural)</t>
        </is>
      </c>
    </row>
    <row r="9">
      <c r="C9" s="22" t="inlineStr">
        <is>
          <t>Zone (code):</t>
        </is>
      </c>
      <c r="D9" s="244">
        <f>IF(D8="Urban", "Urban", IF(D8="Peri-urban", "Region", "Rural"))</f>
        <v/>
      </c>
      <c r="I9" s="255" t="inlineStr">
        <is>
          <t>Do not edit cell D9</t>
        </is>
      </c>
    </row>
    <row r="11" ht="21" customHeight="1">
      <c r="B11" s="120" t="inlineStr">
        <is>
          <t>2) ESTIMATE REFERENCE HOUSEHOLD SIZE</t>
        </is>
      </c>
      <c r="C11" s="121" t="n"/>
      <c r="D11" s="122" t="n"/>
      <c r="E11" s="122" t="n"/>
      <c r="F11" s="122" t="n"/>
      <c r="G11" s="122" t="n"/>
      <c r="H11" s="122" t="n"/>
      <c r="I11" s="122" t="n"/>
    </row>
    <row r="12" ht="16" customHeight="1" thickBot="1">
      <c r="C12" s="60" t="n"/>
      <c r="D12" s="184" t="n"/>
    </row>
    <row r="13" ht="21" customHeight="1">
      <c r="B13" s="256" t="n"/>
      <c r="C13" s="257" t="inlineStr">
        <is>
          <t>Reference Household size</t>
        </is>
      </c>
      <c r="D13" s="258" t="n"/>
      <c r="E13" s="258" t="n"/>
      <c r="F13" s="258" t="n"/>
      <c r="G13" s="259" t="n"/>
      <c r="I13" s="160" t="inlineStr">
        <is>
          <t>Instructions</t>
        </is>
      </c>
    </row>
    <row r="14" ht="65.5" customHeight="1">
      <c r="B14" s="139" t="n"/>
      <c r="G14" s="140" t="n"/>
      <c r="I14" s="260" t="inlineStr">
        <is>
          <t>Do not edit cells D16-D18. The number of adults for the Reference Household Size is assumed fixed (2 adults). 
If you want to calculate the Living Income Benchmark for another Reference Household Size enter a personalized household composition, the model will automatecally apply the calculations in the background and the results will be available in the OUTPUT dashboard when selecting the personalized houshold size option</t>
        </is>
      </c>
    </row>
    <row r="15">
      <c r="B15" s="139" t="n"/>
      <c r="D15" s="50" t="inlineStr">
        <is>
          <t>Model</t>
        </is>
      </c>
      <c r="G15" s="140" t="n"/>
    </row>
    <row r="16" ht="19" customHeight="1">
      <c r="B16" s="139" t="n"/>
      <c r="C16" s="261" t="inlineStr">
        <is>
          <t>Number of adults</t>
        </is>
      </c>
      <c r="D16" s="262" t="n">
        <v>2</v>
      </c>
      <c r="G16" s="140" t="n"/>
    </row>
    <row r="17" ht="18" customHeight="1">
      <c r="B17" s="139" t="n"/>
      <c r="C17" s="261" t="inlineStr">
        <is>
          <t>Number of children</t>
        </is>
      </c>
      <c r="D17" s="447">
        <f>IFERROR(_xlfn.XLOOKUP($D$9,$D$43:$F$43,$D$48:$F$48),"")</f>
        <v/>
      </c>
      <c r="G17" s="140" t="n"/>
    </row>
    <row r="18" ht="19" customHeight="1">
      <c r="B18" s="139" t="n"/>
      <c r="C18" s="264" t="inlineStr">
        <is>
          <t>Number of working adults</t>
        </is>
      </c>
      <c r="D18" s="265">
        <f>_xlfn.IFNA(_xlfn.XLOOKUP($D$8,$D$63:$F$63,$D$68:$F$68),"")</f>
        <v/>
      </c>
      <c r="G18" s="140" t="n"/>
    </row>
    <row r="19" ht="9.75" customHeight="1" thickBot="1">
      <c r="B19" s="142" t="n"/>
      <c r="C19" s="143" t="n"/>
      <c r="D19" s="143" t="n"/>
      <c r="E19" s="143" t="n"/>
      <c r="F19" s="143" t="n"/>
      <c r="G19" s="145" t="n"/>
    </row>
    <row r="20" ht="9.75" customHeight="1"/>
    <row r="21" ht="9.75" customHeight="1" thickBot="1"/>
    <row r="22" ht="18" customHeight="1">
      <c r="B22" s="256" t="n"/>
      <c r="C22" s="257" t="inlineStr">
        <is>
          <t>Personalize household composition</t>
        </is>
      </c>
      <c r="D22" s="258" t="n"/>
      <c r="E22" s="258" t="n"/>
      <c r="F22" s="258" t="n"/>
      <c r="G22" s="259" t="n"/>
    </row>
    <row r="23" ht="55.5" customHeight="1">
      <c r="B23" s="139" t="n"/>
      <c r="G23" s="140" t="n"/>
      <c r="I23" s="260" t="inlineStr">
        <is>
          <t>For an alternative calculation enter a personalized household composition in cells D25 - D28
Select the Household Composition to use in the OUTPUT dashboard and the model will autmoatically adjust all calculations.</t>
        </is>
      </c>
    </row>
    <row r="24" ht="18" customHeight="1">
      <c r="B24" s="139" t="n"/>
      <c r="D24" s="50" t="inlineStr">
        <is>
          <t>Personalized</t>
        </is>
      </c>
      <c r="G24" s="140" t="n"/>
    </row>
    <row r="25" ht="18" customHeight="1">
      <c r="B25" s="139" t="n"/>
      <c r="C25" s="261" t="inlineStr">
        <is>
          <t>Number of adults (male)</t>
        </is>
      </c>
      <c r="D25" s="266" t="n">
        <v>1</v>
      </c>
      <c r="G25" s="140" t="n"/>
    </row>
    <row r="26" ht="18" customHeight="1">
      <c r="B26" s="139" t="n"/>
      <c r="C26" s="261" t="inlineStr">
        <is>
          <t>Number of adults (female)</t>
        </is>
      </c>
      <c r="D26" s="266" t="n">
        <v>1</v>
      </c>
      <c r="G26" s="140" t="n"/>
    </row>
    <row r="27" ht="18" customHeight="1">
      <c r="B27" s="139" t="n"/>
      <c r="C27" s="261" t="inlineStr">
        <is>
          <t>Number of children</t>
        </is>
      </c>
      <c r="D27" s="266" t="n">
        <v>3</v>
      </c>
      <c r="G27" s="140" t="n"/>
    </row>
    <row r="28" ht="18" customHeight="1">
      <c r="B28" s="139" t="n"/>
      <c r="C28" s="264" t="inlineStr">
        <is>
          <t>Number of working adults</t>
        </is>
      </c>
      <c r="D28" s="266" t="n">
        <v>2</v>
      </c>
      <c r="G28" s="140" t="n"/>
    </row>
    <row r="29" ht="18" customHeight="1" thickBot="1">
      <c r="B29" s="142" t="n"/>
      <c r="C29" s="143" t="n"/>
      <c r="D29" s="143" t="n"/>
      <c r="E29" s="143" t="n"/>
      <c r="F29" s="143" t="n"/>
      <c r="G29" s="145" t="n"/>
    </row>
    <row r="30" ht="18" customHeight="1"/>
    <row r="31" ht="21" customHeight="1">
      <c r="B31" s="126" t="inlineStr">
        <is>
          <t>2A) Calculate number of children</t>
        </is>
      </c>
      <c r="C31" s="28" t="n"/>
      <c r="D31" s="28" t="n"/>
      <c r="E31" s="29" t="n"/>
      <c r="F31" s="29" t="n"/>
      <c r="G31" s="29" t="n"/>
      <c r="H31" s="29" t="n"/>
      <c r="I31" s="29" t="n"/>
    </row>
    <row r="32">
      <c r="C32" s="60" t="n"/>
      <c r="D32" s="184" t="n"/>
    </row>
    <row r="33">
      <c r="C33" s="23" t="inlineStr">
        <is>
          <t>Instructions</t>
        </is>
      </c>
      <c r="D33" s="184" t="n"/>
    </row>
    <row r="34">
      <c r="C34" s="22" t="inlineStr">
        <is>
          <t xml:space="preserve">The data for this section (2A) will need to be gathered from: </t>
        </is>
      </c>
      <c r="D34" s="184" t="n"/>
      <c r="E34" s="267" t="inlineStr">
        <is>
          <t>LINK</t>
        </is>
      </c>
    </row>
    <row r="35">
      <c r="C35" s="60" t="n"/>
      <c r="D35" s="184" t="n"/>
    </row>
    <row r="36">
      <c r="C36" s="23" t="inlineStr">
        <is>
          <t>Guidance</t>
        </is>
      </c>
      <c r="D36" s="184" t="n"/>
    </row>
    <row r="37">
      <c r="B37" s="193" t="n">
        <v>1</v>
      </c>
      <c r="C37" s="45" t="inlineStr">
        <is>
          <t>If you are carrying out a study for a URBAN AREA, then collect data from both the Urban indicator &amp; the region-specific indicator. Hence, you will need to collect two data points for each variable</t>
        </is>
      </c>
      <c r="D37" s="236" t="n"/>
      <c r="E37" s="45" t="n"/>
      <c r="F37" s="45" t="n"/>
      <c r="G37" s="45" t="n"/>
      <c r="H37" s="45" t="n"/>
      <c r="I37" s="45" t="n"/>
    </row>
    <row r="38">
      <c r="B38" s="193" t="n">
        <v>2</v>
      </c>
      <c r="C38" s="45" t="inlineStr">
        <is>
          <t>If you are carrying out a study for a PERI-URBAN AREA, then collect data only from the region-specific indicator. Hence, you will need to collect one data points for each variable</t>
        </is>
      </c>
      <c r="D38" s="236" t="n"/>
      <c r="E38" s="45" t="n"/>
      <c r="F38" s="45" t="n"/>
      <c r="G38" s="45" t="n"/>
      <c r="H38" s="45" t="n"/>
      <c r="I38" s="45" t="n"/>
    </row>
    <row r="39">
      <c r="B39" s="193" t="n">
        <v>3</v>
      </c>
      <c r="C39" s="45" t="inlineStr">
        <is>
          <t>If you are carrying out a study for a RURAL AREA, then collect data from both the Rural indicator &amp; the region-specific indicator. Hence, you will need to collect two data points for each variable</t>
        </is>
      </c>
      <c r="D39" s="236" t="n"/>
      <c r="E39" s="45" t="n"/>
      <c r="F39" s="45" t="n"/>
      <c r="G39" s="45" t="n"/>
      <c r="H39" s="45" t="n"/>
      <c r="I39" s="45" t="n"/>
    </row>
    <row r="40">
      <c r="B40" s="193" t="n">
        <v>4</v>
      </c>
      <c r="C40" s="45" t="inlineStr">
        <is>
          <t>Select the country of your study</t>
        </is>
      </c>
      <c r="D40" s="236" t="n"/>
      <c r="E40" s="45" t="n"/>
      <c r="F40" s="45" t="n"/>
      <c r="G40" s="45" t="n"/>
      <c r="H40" s="45" t="n"/>
      <c r="I40" s="45" t="n"/>
    </row>
    <row r="41">
      <c r="B41" s="193" t="n">
        <v>5</v>
      </c>
      <c r="C41" s="45" t="inlineStr">
        <is>
          <t>Select always the latest available data</t>
        </is>
      </c>
      <c r="D41" s="236" t="n"/>
      <c r="E41" s="45" t="n"/>
      <c r="F41" s="45" t="n"/>
      <c r="G41" s="45" t="n"/>
      <c r="H41" s="45" t="n"/>
      <c r="I41" s="45" t="n"/>
    </row>
    <row r="42">
      <c r="C42" s="60" t="n"/>
      <c r="D42" s="184" t="n"/>
      <c r="J42" s="22" t="inlineStr">
        <is>
          <t>Data for 2019</t>
        </is>
      </c>
    </row>
    <row r="43">
      <c r="D43" s="268" t="inlineStr">
        <is>
          <t>Urban</t>
        </is>
      </c>
      <c r="E43" s="268" t="inlineStr">
        <is>
          <t>Rural</t>
        </is>
      </c>
      <c r="F43" s="268" t="inlineStr">
        <is>
          <t>Region</t>
        </is>
      </c>
      <c r="I43" s="160" t="inlineStr">
        <is>
          <t>Instructions</t>
        </is>
      </c>
    </row>
    <row r="44">
      <c r="C44" s="193" t="inlineStr">
        <is>
          <t>Household size</t>
        </is>
      </c>
      <c r="D44" s="266" t="n">
        <v>0.1291666666666667</v>
      </c>
      <c r="E44" s="266" t="n">
        <v>0.1291666666666667</v>
      </c>
      <c r="F44" s="266" t="n">
        <v>0.1291666666666667</v>
      </c>
      <c r="I44" s="255" t="inlineStr">
        <is>
          <t>Go to the link provided in cell E34. Retrieve this data by choosing --&gt; Category: Population; Indicator: Average Household size</t>
        </is>
      </c>
      <c r="J44" s="22" t="inlineStr">
        <is>
          <t>Region data - for South</t>
        </is>
      </c>
    </row>
    <row r="45">
      <c r="C45" s="193" t="inlineStr">
        <is>
          <t>Fertility rate</t>
        </is>
      </c>
      <c r="D45" s="266" t="n">
        <v>0.1701388888888889</v>
      </c>
      <c r="E45" s="266" t="n">
        <v>0.1701388888888889</v>
      </c>
      <c r="F45" s="266" t="n">
        <v>0.1708333333333333</v>
      </c>
      <c r="I45" s="255" t="inlineStr">
        <is>
          <t>Go to the link provided in cell E34. Retrieve this data by choosing --&gt; Category: Fertility; Indicator: Total Fertility Rate</t>
        </is>
      </c>
      <c r="J45" s="22" t="inlineStr">
        <is>
          <t>From census - national data</t>
        </is>
      </c>
    </row>
    <row r="46">
      <c r="C46" s="193" t="inlineStr">
        <is>
          <t>Child mortality under five</t>
        </is>
      </c>
      <c r="D46" s="266" t="n">
        <v>46</v>
      </c>
      <c r="E46" s="266" t="n">
        <v>46</v>
      </c>
      <c r="F46" s="266" t="n">
        <v>46</v>
      </c>
      <c r="I46" s="255" t="inlineStr">
        <is>
          <t>Go to the link provided in cell E34. Retrieve this data by choosing --&gt; Category: Child mortality; Indicator: Under five mortality rate</t>
        </is>
      </c>
    </row>
    <row r="47" ht="16" customHeight="1" thickBot="1"/>
    <row r="48" ht="16" customHeight="1" thickBot="1">
      <c r="C48" s="269" t="inlineStr">
        <is>
          <t>Number of children</t>
        </is>
      </c>
      <c r="D48" s="270">
        <f>IFERROR(AVERAGE('Background calculations'!C24:C25,'Background calculations'!E24:E25),"")</f>
        <v/>
      </c>
      <c r="E48" s="270">
        <f>IFERROR(AVERAGE('Background calculations'!D24:D25,'Background calculations'!E24:E25),"")</f>
        <v/>
      </c>
      <c r="F48" s="271">
        <f>AVERAGE('Background calculations'!E24:E25)</f>
        <v/>
      </c>
      <c r="I48" s="163" t="n"/>
    </row>
    <row r="50" ht="21" customHeight="1">
      <c r="B50" s="126" t="inlineStr">
        <is>
          <t>2B) Calculate number of workers in the family</t>
        </is>
      </c>
      <c r="C50" s="28" t="n"/>
      <c r="D50" s="28" t="n"/>
      <c r="E50" s="29" t="n"/>
      <c r="F50" s="29" t="n"/>
      <c r="G50" s="29" t="n"/>
      <c r="H50" s="29" t="n"/>
      <c r="I50" s="29" t="n"/>
    </row>
    <row r="52">
      <c r="C52" s="23" t="inlineStr">
        <is>
          <t>Instructions</t>
        </is>
      </c>
      <c r="D52" s="184" t="n"/>
    </row>
    <row r="53">
      <c r="C53" s="22" t="inlineStr">
        <is>
          <t xml:space="preserve">The data for this section (2B) will need to be gathered from: </t>
        </is>
      </c>
      <c r="D53" s="184" t="n"/>
      <c r="E53" s="267" t="inlineStr">
        <is>
          <t>LINK</t>
        </is>
      </c>
    </row>
    <row r="54">
      <c r="C54" s="60" t="n"/>
      <c r="D54" s="184" t="n"/>
    </row>
    <row r="55">
      <c r="C55" s="23" t="inlineStr">
        <is>
          <t>Guidance</t>
        </is>
      </c>
      <c r="D55" s="184" t="n"/>
    </row>
    <row r="56">
      <c r="B56" s="193" t="n">
        <v>1</v>
      </c>
      <c r="C56" s="45" t="inlineStr">
        <is>
          <t>If you are carrying out a study for a URBAN AREA, then collect data from the Urban indicator. Hence, you will need to collect only one data point for each variable</t>
        </is>
      </c>
      <c r="D56" s="236" t="n"/>
      <c r="E56" s="45" t="n"/>
      <c r="F56" s="45" t="n"/>
      <c r="G56" s="45" t="n"/>
      <c r="H56" s="45" t="n"/>
      <c r="I56" s="45" t="n"/>
    </row>
    <row r="57">
      <c r="B57" s="193" t="n">
        <v>2</v>
      </c>
      <c r="C57" s="45" t="inlineStr">
        <is>
          <t xml:space="preserve">If you are carrying out a study for a PERI-URBAN AREA, then collect data only from both Urban and Rural indicators. Hence, you will need to collect two data points (both Urban and Rural) for each variable </t>
        </is>
      </c>
      <c r="D57" s="236" t="n"/>
      <c r="E57" s="45" t="n"/>
      <c r="F57" s="45" t="n"/>
      <c r="G57" s="45" t="n"/>
      <c r="H57" s="45" t="n"/>
      <c r="I57" s="45" t="n"/>
    </row>
    <row r="58">
      <c r="B58" s="193" t="n">
        <v>3</v>
      </c>
      <c r="C58" s="45" t="inlineStr">
        <is>
          <t>If you are carrying out a study for a RURAL AREA, then collect data from both the Rural indicator. Hence, you will need to collect one data point for each variable</t>
        </is>
      </c>
      <c r="D58" s="236" t="n"/>
      <c r="E58" s="45" t="n"/>
      <c r="F58" s="45" t="n"/>
      <c r="G58" s="45" t="n"/>
      <c r="H58" s="45" t="n"/>
      <c r="I58" s="45" t="n"/>
    </row>
    <row r="59">
      <c r="B59" s="193" t="n">
        <v>4</v>
      </c>
      <c r="C59" s="45" t="inlineStr">
        <is>
          <t>Make sure to spell the names correctly when you search these indicators in the ILOSTAT database, as provided in the Instructions boxes, and that you retrieve the indicators from the suggested section</t>
        </is>
      </c>
      <c r="D59" s="236" t="n"/>
      <c r="E59" s="45" t="n"/>
      <c r="F59" s="45" t="n"/>
      <c r="G59" s="45" t="n"/>
      <c r="H59" s="45" t="n"/>
      <c r="I59" s="45" t="n"/>
    </row>
    <row r="60">
      <c r="B60" s="193" t="n">
        <v>5</v>
      </c>
      <c r="C60" s="45" t="inlineStr">
        <is>
          <t>Select always the latest available data</t>
        </is>
      </c>
      <c r="D60" s="236" t="n"/>
      <c r="E60" s="45" t="n"/>
      <c r="F60" s="45" t="n"/>
      <c r="G60" s="45" t="n"/>
      <c r="H60" s="45" t="n"/>
      <c r="I60" s="45" t="n"/>
    </row>
    <row r="61">
      <c r="B61" s="193" t="n">
        <v>6</v>
      </c>
      <c r="C61" s="45" t="inlineStr">
        <is>
          <t>Select the country of your study</t>
        </is>
      </c>
      <c r="D61" s="236" t="n"/>
      <c r="E61" s="45" t="n"/>
      <c r="F61" s="45" t="n"/>
      <c r="G61" s="45" t="n"/>
      <c r="H61" s="45" t="n"/>
      <c r="I61" s="45" t="n"/>
    </row>
    <row r="63">
      <c r="C63" s="60" t="n"/>
      <c r="D63" s="272" t="inlineStr">
        <is>
          <t>Urban</t>
        </is>
      </c>
      <c r="E63" s="272" t="inlineStr">
        <is>
          <t>Rural</t>
        </is>
      </c>
      <c r="F63" s="272" t="inlineStr">
        <is>
          <t>Peri-urban</t>
        </is>
      </c>
      <c r="I63" s="160" t="inlineStr">
        <is>
          <t>Instructions</t>
        </is>
      </c>
    </row>
    <row r="64" ht="158.5" customHeight="1">
      <c r="C64" s="273" t="inlineStr">
        <is>
          <t>Labour force participation rate</t>
        </is>
      </c>
      <c r="D64" s="274" t="n">
        <v>0.74</v>
      </c>
      <c r="E64" s="274" t="n">
        <v>0.82</v>
      </c>
      <c r="F64" s="448">
        <f>IFERROR(AVERAGE(D64:E64),"")</f>
        <v/>
      </c>
      <c r="H64" s="254" t="n"/>
      <c r="I64" s="233" t="inlineStr">
        <is>
          <t>Go to the link provided in cell E53. Retrieve this data by --&gt; 
(1) In the search bar "Dataset" type "Labour force participation";
(2) You fill see that there are several datapoints for that name. Do not pick the top one, but scroll down to select the one in the right section. The right indicator is named "Labour force participation by sex, age, and rural / urban areas (%) - Annual" under the "Rural and urban labour markets (RURBAN)" section; 
(3) in the Filter section on the left side of the website, select the country of focus,  select "Total" in the Sex filter, select "Aggregated bands: Total" in the Age filter, and select "Area type: Rural" and "Area type: Urban" in the Area type filter, and check the box "Latest period" to show latest avaialable data
IMPORTANT: In case the country of study is not listed in the "Labour force participation by sex, age, and rural / urban areas (%) - Annual" under the "Rural and urban labour markets (RURBAN)" section, then use the "Labour force participation by sex, age, and rural / urban areas -- ILO modelled estimates, Nov 2020 (%) - Annual" under the "ILO modelled estimates and projections (ILOEST)" section. In this case, choose "Youth, adults: 25+" in the Age filter</t>
        </is>
      </c>
      <c r="J64" s="31" t="n"/>
    </row>
    <row r="65" ht="153" customHeight="1">
      <c r="C65" s="273" t="inlineStr">
        <is>
          <t>Unemployment rate</t>
        </is>
      </c>
      <c r="D65" s="274" t="n">
        <v>0.03</v>
      </c>
      <c r="E65" s="274" t="n">
        <v>0.03</v>
      </c>
      <c r="F65" s="448">
        <f>IFERROR(AVERAGE(D65:E65),"")</f>
        <v/>
      </c>
      <c r="I65" s="233" t="inlineStr">
        <is>
          <t>Go to the link provided in cell E53. Retrieve this data by --&gt; 
(1) In the search bar "Dataset" type "Unemployment rate";
(2)  You fill see that there are several datapoints for that name. Do not pick the top one, but scroll down to select the one in the right section. The right indicator is named "Unemployment rate by sex, age, and rural / urban areas (%) - Annual" under the "Rural and urban labour markets (RURBAN)" section; 
(3) in the Filter section on the left side of the website, select the country of focus,  select "Total" in the Sex filter, select "Aggregated bands: Total" in the Age filter, and select "Area type: Rural" and "Area type: Urban" in the Area type filter, and check the box "Latest period" to show latest avaialable data
IMPORTANT: In case the country of study is not listed in the"Unemployment rate by sex, age, and rural / urban areas (%) - Annual" under the "Rural and urban labour markets (RURBAN)" section, then use the "Unemployment rate by sex, age, and rural / urban areas -- ILO modelled estimates, Nov 2020 (%) - Annual" under the "ILO modelled estimates and projections (ILOEST)" section. In this case, choose "Youth, adults: 25+" in the Age filter</t>
        </is>
      </c>
    </row>
    <row r="66" ht="160.5" customHeight="1">
      <c r="C66" s="273" t="inlineStr">
        <is>
          <t>Time-related underemployment rate</t>
        </is>
      </c>
      <c r="D66" s="274" t="n">
        <v>0.07000000000000001</v>
      </c>
      <c r="E66" s="274" t="n">
        <v>0.05</v>
      </c>
      <c r="F66" s="449">
        <f>IFERROR(AVERAGE(D66:E66),"")</f>
        <v/>
      </c>
      <c r="I66" s="233" t="inlineStr">
        <is>
          <t>Go to the link provided in cell E53. Retrieve this data by --&gt; 
(1) In the search bar "Dataset" type "Time-related underemployment";
(2)  You fill see that there are several datapoints for that name. Do not pick the top one, but scroll down to select the one in the right section. The right indicator is named "Time-related underemployment by sex, age, and rural / urban areas (%) - Annual" under the "Rural and urban labour markets (RURBAN)" section; 
(3) in the Filter section on the left side of the website, select the country of focus,  select "Total" in the Sex filter, select "Aggregated bands: Total" in the Age filter, and select "Area type: Rural" and "Area type: Urban" in the Area type filter, and check the box "Latest period" to show latest avaialable data
IMPORTANT: In case the country of study is not listed in the"Time-related underemployment by sex, age, and rural / urban areas (%) - Annual" under the "Rural and urban labour markets (RURBAN)" section, then use the "Time-related underemployment by sex, age -- ILO modelled estimates, Nov 2020 (%) - Annual" under the "ILO modelled estimates and projections (ILOEST)" section. In this case, you won't have a distinction between urban &amp; rural, and you will have to choose "Youth, adults: 25+" in the Age filter</t>
        </is>
      </c>
    </row>
    <row r="67" ht="16" customHeight="1" thickBot="1"/>
    <row r="68" ht="16" customHeight="1" thickBot="1">
      <c r="C68" s="269" t="inlineStr">
        <is>
          <t>Number of FTE in household</t>
        </is>
      </c>
      <c r="D68" s="277">
        <f>1+'Background calculations'!C30</f>
        <v/>
      </c>
      <c r="E68" s="277">
        <f>1+'Background calculations'!D30</f>
        <v/>
      </c>
      <c r="F68" s="278">
        <f>IFERROR(1+'Background calculations'!E30,"")</f>
        <v/>
      </c>
    </row>
  </sheetData>
  <dataValidations count="1">
    <dataValidation sqref="D8" showDropDown="0" showInputMessage="1" showErrorMessage="1" allowBlank="1" type="list">
      <formula1>"Urban, Peri-urban, Rural"</formula1>
    </dataValidation>
  </dataValidations>
  <hyperlinks>
    <hyperlink xmlns:r="http://schemas.openxmlformats.org/officeDocument/2006/relationships" ref="E34" r:id="rId1"/>
    <hyperlink xmlns:r="http://schemas.openxmlformats.org/officeDocument/2006/relationships" ref="E53" r:id="rId2"/>
  </hyperlink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B2:V78"/>
  <sheetViews>
    <sheetView showGridLines="0" topLeftCell="A16" zoomScale="99" zoomScaleNormal="83" workbookViewId="0">
      <selection activeCell="T8" sqref="T8"/>
    </sheetView>
  </sheetViews>
  <sheetFormatPr baseColWidth="10" defaultColWidth="8.83203125" defaultRowHeight="15"/>
  <cols>
    <col width="2.5" customWidth="1" style="22" min="1" max="1"/>
    <col width="2.1640625" customWidth="1" style="22" min="2" max="2"/>
    <col width="48.83203125" customWidth="1" style="22" min="3" max="3"/>
    <col width="22.1640625" customWidth="1" style="22" min="4" max="4"/>
    <col width="11.1640625" customWidth="1" style="22" min="5" max="5"/>
    <col width="15.83203125" customWidth="1" style="22" min="6" max="6"/>
    <col width="22.5" customWidth="1" style="22" min="7" max="7"/>
    <col width="15.5" customWidth="1" style="22" min="8" max="8"/>
    <col width="15.1640625" customWidth="1" style="22" min="9" max="9"/>
    <col width="14.83203125" customWidth="1" style="22" min="10" max="10"/>
    <col width="4.1640625" customWidth="1" style="22" min="11" max="11"/>
    <col width="11.5" customWidth="1" style="22" min="12" max="12"/>
    <col width="17.1640625" customWidth="1" style="22" min="13" max="14"/>
    <col width="12.1640625" customWidth="1" style="22" min="15" max="15"/>
    <col width="10.5" customWidth="1" style="22" min="16" max="16"/>
    <col width="12.1640625" customWidth="1" style="22" min="17" max="18"/>
    <col width="11.5" customWidth="1" style="22" min="19" max="20"/>
    <col width="8.83203125" customWidth="1" style="22" min="21" max="23"/>
    <col width="11.1640625" customWidth="1" style="22" min="24" max="24"/>
    <col width="4.83203125" customWidth="1" style="22" min="25" max="25"/>
    <col width="8.83203125" customWidth="1" style="22" min="26" max="27"/>
    <col width="13.83203125" customWidth="1" style="22" min="28" max="28"/>
    <col width="12.1640625" customWidth="1" style="22" min="29" max="29"/>
    <col width="8.83203125" customWidth="1" style="22" min="30" max="30"/>
    <col width="8.83203125" customWidth="1" style="22" min="31" max="16384"/>
  </cols>
  <sheetData>
    <row r="2" ht="62" customHeight="1">
      <c r="B2" s="131" t="inlineStr">
        <is>
          <t>Estimating housing costs</t>
        </is>
      </c>
    </row>
    <row r="4" ht="21" customHeight="1">
      <c r="B4" s="120" t="inlineStr">
        <is>
          <t>1) HOUSING COSTS FOR REFERENCE HOUSEHOLD SIZE</t>
        </is>
      </c>
      <c r="C4" s="121" t="n"/>
      <c r="D4" s="122" t="n"/>
      <c r="E4" s="122" t="n"/>
      <c r="F4" s="122" t="n"/>
      <c r="G4" s="122" t="n"/>
      <c r="H4" s="122" t="n"/>
      <c r="I4" s="122" t="n"/>
      <c r="J4" s="122" t="n"/>
      <c r="K4" s="122" t="n"/>
    </row>
    <row r="6">
      <c r="B6" s="23" t="inlineStr">
        <is>
          <t>Guidance</t>
        </is>
      </c>
      <c r="C6" s="184" t="n"/>
    </row>
    <row r="7">
      <c r="B7" s="45" t="inlineStr">
        <is>
          <t>Do not edit any cells and tables shown below, or add any new rows nor columns</t>
        </is>
      </c>
      <c r="C7" s="236" t="n"/>
      <c r="D7" s="45" t="n"/>
      <c r="E7" s="45" t="n"/>
      <c r="F7" s="45" t="n"/>
      <c r="G7" s="45" t="n"/>
      <c r="H7" s="45" t="n"/>
      <c r="I7" s="45" t="n"/>
      <c r="J7" s="45" t="n"/>
      <c r="K7" s="45" t="n"/>
    </row>
    <row r="8" ht="16" customHeight="1" thickBot="1"/>
    <row r="9" ht="41.5" customHeight="1">
      <c r="B9" s="135" t="n"/>
      <c r="C9" s="136" t="inlineStr">
        <is>
          <t>HOUSING COSTS</t>
        </is>
      </c>
      <c r="D9" s="137" t="n"/>
      <c r="E9" s="137" t="n"/>
      <c r="F9" s="137" t="n"/>
      <c r="G9" s="137" t="n"/>
      <c r="H9" s="137" t="n"/>
      <c r="I9" s="137" t="n"/>
      <c r="J9" s="137" t="n"/>
      <c r="K9" s="138" t="n"/>
    </row>
    <row r="10">
      <c r="B10" s="139" t="n"/>
      <c r="K10" s="140" t="n"/>
    </row>
    <row r="11">
      <c r="B11" s="139" t="n"/>
      <c r="C11" s="394" t="inlineStr">
        <is>
          <t>Housing cost for Reference Household Size</t>
        </is>
      </c>
      <c r="D11" s="22" t="n"/>
      <c r="K11" s="140" t="n"/>
    </row>
    <row r="12" ht="24" customHeight="1">
      <c r="B12" s="139" t="n"/>
      <c r="D12" s="22" t="inlineStr">
        <is>
          <t>LCU / household / month</t>
        </is>
      </c>
      <c r="F12" s="22" t="inlineStr">
        <is>
          <t>USD / household / month</t>
        </is>
      </c>
      <c r="G12" s="183" t="n"/>
      <c r="K12" s="140" t="n"/>
    </row>
    <row r="13">
      <c r="B13" s="139" t="n"/>
      <c r="C13" s="132" t="inlineStr">
        <is>
          <t>Estimated monthly cost (incl. utilities)</t>
        </is>
      </c>
      <c r="D13" s="141">
        <f>IFERROR(G50*D28,"")</f>
        <v/>
      </c>
      <c r="F13" s="141">
        <f>IFERROR(D13/'OUTPUT_Living wage'!$E$10,"")</f>
        <v/>
      </c>
      <c r="K13" s="140" t="n"/>
    </row>
    <row r="14">
      <c r="B14" s="139" t="n"/>
      <c r="C14" s="132" t="n"/>
      <c r="K14" s="140" t="n"/>
    </row>
    <row r="15">
      <c r="B15" s="139" t="n"/>
      <c r="K15" s="140" t="n"/>
    </row>
    <row r="16" ht="16" customHeight="1">
      <c r="B16" s="139" t="n"/>
      <c r="C16" s="185" t="inlineStr">
        <is>
          <t>Housing cost components</t>
        </is>
      </c>
      <c r="K16" s="140" t="n"/>
    </row>
    <row r="17">
      <c r="B17" s="139" t="n"/>
      <c r="D17" s="329" t="n"/>
      <c r="E17" s="71" t="n"/>
      <c r="K17" s="140" t="n"/>
    </row>
    <row r="18">
      <c r="B18" s="139" t="n"/>
      <c r="C18" s="132" t="inlineStr">
        <is>
          <t>Rent</t>
        </is>
      </c>
      <c r="D18" s="141">
        <f>IFERROR(D13*'Background calculations'!C89,"")</f>
        <v/>
      </c>
      <c r="F18" s="141">
        <f>IFERROR(D18/'OUTPUT_Living wage'!$E$10,"")</f>
        <v/>
      </c>
      <c r="K18" s="140" t="n"/>
    </row>
    <row r="19">
      <c r="B19" s="139" t="n"/>
      <c r="C19" s="132" t="inlineStr">
        <is>
          <t>Electricity</t>
        </is>
      </c>
      <c r="D19" s="141">
        <f>IFERROR(D13*'Background calculations'!C90,"")</f>
        <v/>
      </c>
      <c r="F19" s="141">
        <f>IFERROR(D19/'OUTPUT_Living wage'!$E$10,"")</f>
        <v/>
      </c>
      <c r="K19" s="140" t="n"/>
    </row>
    <row r="20">
      <c r="B20" s="139" t="n"/>
      <c r="C20" s="132" t="inlineStr">
        <is>
          <t>Water</t>
        </is>
      </c>
      <c r="D20" s="141">
        <f>IFERROR(D13*'Background calculations'!C91,"")</f>
        <v/>
      </c>
      <c r="F20" s="141">
        <f>IFERROR(D20/'OUTPUT_Living wage'!$E$10,"")</f>
        <v/>
      </c>
      <c r="K20" s="140" t="n"/>
    </row>
    <row r="21">
      <c r="B21" s="139" t="n"/>
      <c r="C21" s="132" t="inlineStr">
        <is>
          <t>Cooking Fuel</t>
        </is>
      </c>
      <c r="D21" s="141">
        <f>IFERROR(D13*'Background calculations'!C92,"")</f>
        <v/>
      </c>
      <c r="F21" s="141">
        <f>IFERROR(D21/'OUTPUT_Living wage'!$E$10,"")</f>
        <v/>
      </c>
      <c r="K21" s="140" t="n"/>
    </row>
    <row r="22">
      <c r="B22" s="139" t="n"/>
      <c r="K22" s="140" t="n"/>
    </row>
    <row r="23">
      <c r="B23" s="139" t="n"/>
      <c r="E23" s="436" t="n"/>
      <c r="K23" s="140" t="n"/>
    </row>
    <row r="24" ht="16" customHeight="1">
      <c r="B24" s="139" t="n"/>
      <c r="C24" s="185" t="inlineStr">
        <is>
          <t>Household Composition</t>
        </is>
      </c>
      <c r="E24" s="436" t="n"/>
      <c r="K24" s="140" t="n"/>
    </row>
    <row r="25">
      <c r="B25" s="139" t="n"/>
      <c r="C25" s="219" t="inlineStr">
        <is>
          <t>Selected</t>
        </is>
      </c>
      <c r="D25" s="450">
        <f>'OUTPUT_Living wage'!$E$15</f>
        <v/>
      </c>
      <c r="E25" s="436" t="n"/>
      <c r="K25" s="140" t="n"/>
    </row>
    <row r="26">
      <c r="B26" s="139" t="n"/>
      <c r="C26" s="132" t="inlineStr">
        <is>
          <t>Household Size</t>
        </is>
      </c>
      <c r="D26" s="451">
        <f>IFERROR('Background calculations'!D10+'Background calculations'!D11,0)</f>
        <v/>
      </c>
      <c r="K26" s="140" t="n"/>
    </row>
    <row r="27">
      <c r="B27" s="139" t="n"/>
      <c r="C27" s="132" t="inlineStr">
        <is>
          <t>Maximum number of people per room</t>
        </is>
      </c>
      <c r="D27" s="90" t="n">
        <v>2</v>
      </c>
      <c r="K27" s="140" t="n"/>
    </row>
    <row r="28">
      <c r="B28" s="139" t="n"/>
      <c r="C28" s="132" t="inlineStr">
        <is>
          <t>Total Rooms for Reference Household Size</t>
        </is>
      </c>
      <c r="D28" s="451">
        <f>ROUNDUP(D26/D27,0)</f>
        <v/>
      </c>
      <c r="F28" s="238" t="n"/>
      <c r="K28" s="140" t="n"/>
    </row>
    <row r="29" ht="16" customHeight="1" thickBot="1">
      <c r="B29" s="142" t="n"/>
      <c r="C29" s="143" t="n"/>
      <c r="D29" s="143" t="n"/>
      <c r="E29" s="143" t="n"/>
      <c r="F29" s="143" t="n"/>
      <c r="G29" s="143" t="n"/>
      <c r="H29" s="143" t="n"/>
      <c r="I29" s="143" t="n"/>
      <c r="J29" s="143" t="n"/>
      <c r="K29" s="145" t="n"/>
    </row>
    <row r="30" ht="16" customHeight="1" thickBot="1"/>
    <row r="31" ht="24" customHeight="1">
      <c r="B31" s="135" t="n"/>
      <c r="C31" s="146" t="inlineStr">
        <is>
          <t>Housing Survey Results</t>
        </is>
      </c>
      <c r="D31" s="137" t="n"/>
      <c r="E31" s="137" t="n"/>
      <c r="F31" s="137" t="n"/>
      <c r="G31" s="137" t="n"/>
      <c r="H31" s="137" t="n"/>
      <c r="I31" s="137" t="n"/>
      <c r="J31" s="137" t="n"/>
      <c r="K31" s="138" t="n"/>
    </row>
    <row r="32" ht="14.5" customHeight="1">
      <c r="B32" s="139" t="n"/>
      <c r="K32" s="140" t="n"/>
    </row>
    <row r="33" ht="45" customHeight="1">
      <c r="B33" s="139" t="n"/>
      <c r="C33" s="239" t="inlineStr">
        <is>
          <t>Participant</t>
        </is>
      </c>
      <c r="D33" s="240" t="inlineStr">
        <is>
          <t>Total Housing Costs (LCU/month)</t>
        </is>
      </c>
      <c r="E33" s="240" t="inlineStr">
        <is>
          <t># of rooms (total)</t>
        </is>
      </c>
      <c r="F33" s="240" t="inlineStr">
        <is>
          <t>Decent Housing Standard</t>
        </is>
      </c>
      <c r="G33" s="241" t="inlineStr">
        <is>
          <t>Cost per room (LCU/room/month)</t>
        </is>
      </c>
      <c r="H33" s="395" t="inlineStr">
        <is>
          <t>Comment</t>
        </is>
      </c>
      <c r="I33" s="22" t="n"/>
      <c r="J33" s="22" t="n"/>
      <c r="K33" s="140" t="n"/>
    </row>
    <row r="34">
      <c r="B34" s="139" t="n"/>
      <c r="C34" s="242" t="inlineStr">
        <is>
          <t>Survey #1</t>
        </is>
      </c>
      <c r="D34" s="452">
        <f t="array" ref="D34:D48">TRANSPOSE('Background calculations'!C62:Q62)</f>
        <v/>
      </c>
      <c r="E34" s="244">
        <f t="array" ref="E34:E48">TRANSPOSE('CLS - Input data'!D23:R23)</f>
        <v/>
      </c>
      <c r="F34" s="245">
        <f>IFERROR(IF('Background calculations'!C43,"Met","Not met"),"")</f>
        <v/>
      </c>
      <c r="G34" s="453">
        <f>IFERROR(IF('Background calculations'!C43,D34/E34,""),"")</f>
        <v/>
      </c>
      <c r="H34" s="397">
        <f>IFERROR(IF('Background calculations'!S43="No","Participant has been excluded from study",IF('Background calculations'!M43=FALSE,"Decent housing mandatory criteria not met",IF('Background calculations'!R43=FALSE,"Missing 2 or more decent housing 'additional' criteria",""))),"")</f>
        <v/>
      </c>
      <c r="I34" s="22" t="n"/>
      <c r="J34" s="22" t="n"/>
      <c r="K34" s="140" t="n"/>
    </row>
    <row r="35">
      <c r="B35" s="139" t="n"/>
      <c r="C35" s="242" t="inlineStr">
        <is>
          <t>Survey #2</t>
        </is>
      </c>
      <c r="D35" s="452" t="n">
        <v>140500</v>
      </c>
      <c r="E35" s="244" t="n">
        <v>2</v>
      </c>
      <c r="F35" s="245">
        <f>IFERROR(IF('Background calculations'!C44,"Met","Not met"),"")</f>
        <v/>
      </c>
      <c r="G35" s="453">
        <f>IFERROR(IF('Background calculations'!C44,D35/E35,""),"")</f>
        <v/>
      </c>
      <c r="H35" s="397">
        <f>IFERROR(IF('Background calculations'!S44="No","Participant has been excluded from study",IF('Background calculations'!M44=FALSE,"Decent housing mandatory criteria not met",IF('Background calculations'!R44=FALSE,"Missing 2 or more decent housing 'additional' criteria",""))),"")</f>
        <v/>
      </c>
      <c r="I35" s="22" t="n"/>
      <c r="J35" s="22" t="n"/>
      <c r="K35" s="140" t="n"/>
    </row>
    <row r="36">
      <c r="B36" s="139" t="n"/>
      <c r="C36" s="242" t="inlineStr">
        <is>
          <t>Survey #3</t>
        </is>
      </c>
      <c r="D36" s="452" t="n">
        <v>151000</v>
      </c>
      <c r="E36" s="244" t="n">
        <v>3</v>
      </c>
      <c r="F36" s="245">
        <f>IFERROR(IF('Background calculations'!C45,"Met","Not met"),"")</f>
        <v/>
      </c>
      <c r="G36" s="453">
        <f>IFERROR(IF('Background calculations'!C45,D36/E36,""),"")</f>
        <v/>
      </c>
      <c r="H36" s="397">
        <f>IFERROR(IF('Background calculations'!S45="No","Participant has been excluded from study",IF('Background calculations'!M45=FALSE,"Decent housing mandatory criteria not met",IF('Background calculations'!R45=FALSE,"Missing 2 or more decent housing 'additional' criteria",""))),"")</f>
        <v/>
      </c>
      <c r="I36" s="22" t="n"/>
      <c r="J36" s="22" t="n"/>
      <c r="K36" s="140" t="n"/>
    </row>
    <row r="37">
      <c r="B37" s="139" t="n"/>
      <c r="C37" s="242" t="inlineStr">
        <is>
          <t>Survey #4</t>
        </is>
      </c>
      <c r="D37" s="452" t="n">
        <v>111500</v>
      </c>
      <c r="E37" s="244" t="n">
        <v>3</v>
      </c>
      <c r="F37" s="245">
        <f>IFERROR(IF('Background calculations'!C46,"Met","Not met"),"")</f>
        <v/>
      </c>
      <c r="G37" s="453">
        <f>IFERROR(IF('Background calculations'!C46,D37/E37,""),"")</f>
        <v/>
      </c>
      <c r="H37" s="397">
        <f>IFERROR(IF('Background calculations'!S46="No","Participant has been excluded from study",IF('Background calculations'!M46=FALSE,"Decent housing mandatory criteria not met",IF('Background calculations'!R46=FALSE,"Missing 2 or more decent housing 'additional' criteria",""))),"")</f>
        <v/>
      </c>
      <c r="I37" s="22" t="n"/>
      <c r="J37" s="22" t="n"/>
      <c r="K37" s="140" t="n"/>
    </row>
    <row r="38">
      <c r="B38" s="139" t="n"/>
      <c r="C38" s="242" t="inlineStr">
        <is>
          <t>Survey #5</t>
        </is>
      </c>
      <c r="D38" s="452" t="n">
        <v>119000</v>
      </c>
      <c r="E38" s="244" t="n">
        <v>2</v>
      </c>
      <c r="F38" s="245">
        <f>IFERROR(IF('Background calculations'!C47,"Met","Not met"),"")</f>
        <v/>
      </c>
      <c r="G38" s="453">
        <f>IFERROR(IF('Background calculations'!C47,D38/E38,""),"")</f>
        <v/>
      </c>
      <c r="H38" s="397">
        <f>IFERROR(IF('Background calculations'!S47="No","Participant has been excluded from study",IF('Background calculations'!M47=FALSE,"Decent housing mandatory criteria not met",IF('Background calculations'!R47=FALSE,"Missing 2 or more decent housing 'additional' criteria",""))),"")</f>
        <v/>
      </c>
      <c r="I38" s="22" t="n"/>
      <c r="J38" s="22" t="n"/>
      <c r="K38" s="140" t="n"/>
    </row>
    <row r="39">
      <c r="B39" s="139" t="n"/>
      <c r="C39" s="242" t="inlineStr">
        <is>
          <t>Survey #6</t>
        </is>
      </c>
      <c r="D39" s="452" t="n">
        <v>150990</v>
      </c>
      <c r="E39" s="244" t="n">
        <v>3</v>
      </c>
      <c r="F39" s="245">
        <f>IFERROR(IF('Background calculations'!C48,"Met","Not met"),"")</f>
        <v/>
      </c>
      <c r="G39" s="453">
        <f>IFERROR(IF('Background calculations'!C48,D39/E39,""),"")</f>
        <v/>
      </c>
      <c r="H39" s="397">
        <f>IFERROR(IF('Background calculations'!S48="No","Participant has been excluded from study",IF('Background calculations'!M48=FALSE,"Decent housing mandatory criteria not met",IF('Background calculations'!R48=FALSE,"Missing 2 or more decent housing 'additional' criteria",""))),"")</f>
        <v/>
      </c>
      <c r="I39" s="22" t="n"/>
      <c r="J39" s="22" t="n"/>
      <c r="K39" s="140" t="n"/>
    </row>
    <row r="40">
      <c r="B40" s="139" t="n"/>
      <c r="C40" s="242" t="inlineStr">
        <is>
          <t>Survey #7</t>
        </is>
      </c>
      <c r="D40" s="452" t="n">
        <v>86500</v>
      </c>
      <c r="E40" s="244" t="n">
        <v>3</v>
      </c>
      <c r="F40" s="245">
        <f>IFERROR(IF('Background calculations'!C49,"Met","Not met"),"")</f>
        <v/>
      </c>
      <c r="G40" s="453">
        <f>IFERROR(IF('Background calculations'!C49,D40/E40,""),"")</f>
        <v/>
      </c>
      <c r="H40" s="397">
        <f>IFERROR(IF('Background calculations'!S49="No","Participant has been excluded from study",IF('Background calculations'!M49=FALSE,"Decent housing mandatory criteria not met",IF('Background calculations'!R49=FALSE,"Missing 2 or more decent housing 'additional' criteria",""))),"")</f>
        <v/>
      </c>
      <c r="I40" s="22" t="n"/>
      <c r="J40" s="22" t="n"/>
      <c r="K40" s="140" t="n"/>
    </row>
    <row r="41">
      <c r="B41" s="139" t="n"/>
      <c r="C41" s="242" t="inlineStr">
        <is>
          <t>Survey #8</t>
        </is>
      </c>
      <c r="D41" s="452" t="n">
        <v>118000</v>
      </c>
      <c r="E41" s="244" t="n">
        <v>2</v>
      </c>
      <c r="F41" s="245">
        <f>IFERROR(IF('Background calculations'!C50,"Met","Not met"),"")</f>
        <v/>
      </c>
      <c r="G41" s="453">
        <f>IFERROR(IF('Background calculations'!C50,D41/E41,""),"")</f>
        <v/>
      </c>
      <c r="H41" s="397">
        <f>IFERROR(IF('Background calculations'!S50="No","Participant has been excluded from study",IF('Background calculations'!M50=FALSE,"Decent housing mandatory criteria not met",IF('Background calculations'!R50=FALSE,"Missing 2 or more decent housing 'additional' criteria",""))),"")</f>
        <v/>
      </c>
      <c r="I41" s="22" t="n"/>
      <c r="J41" s="22" t="n"/>
      <c r="K41" s="140" t="n"/>
      <c r="L41" s="454" t="n"/>
    </row>
    <row r="42">
      <c r="B42" s="139" t="n"/>
      <c r="C42" s="242" t="inlineStr">
        <is>
          <t>Survey #9</t>
        </is>
      </c>
      <c r="D42" s="452" t="n">
        <v>162010</v>
      </c>
      <c r="E42" s="244" t="n">
        <v>2</v>
      </c>
      <c r="F42" s="245">
        <f>IFERROR(IF('Background calculations'!C51,"Met","Not met"),"")</f>
        <v/>
      </c>
      <c r="G42" s="453">
        <f>IFERROR(IF('Background calculations'!C51,D42/E42,""),"")</f>
        <v/>
      </c>
      <c r="H42" s="397">
        <f>IFERROR(IF('Background calculations'!S51="No","Participant has been excluded from study",IF('Background calculations'!M51=FALSE,"Decent housing mandatory criteria not met",IF('Background calculations'!R51=FALSE,"Missing 2 or more decent housing 'additional' criteria",""))),"")</f>
        <v/>
      </c>
      <c r="I42" s="22" t="n"/>
      <c r="J42" s="22" t="n"/>
      <c r="K42" s="140" t="n"/>
    </row>
    <row r="43">
      <c r="B43" s="139" t="n"/>
      <c r="C43" s="242" t="inlineStr">
        <is>
          <t>Survey #10</t>
        </is>
      </c>
      <c r="D43" s="452" t="n">
        <v>171500</v>
      </c>
      <c r="E43" s="244" t="n">
        <v>3</v>
      </c>
      <c r="F43" s="245">
        <f>IFERROR(IF('Background calculations'!C52,"Met","Not met"),"")</f>
        <v/>
      </c>
      <c r="G43" s="453">
        <f>IFERROR(IF('Background calculations'!C52,D43/E43,""),"")</f>
        <v/>
      </c>
      <c r="H43" s="397">
        <f>IFERROR(IF('Background calculations'!S52="No","Participant has been excluded from study",IF('Background calculations'!M52=FALSE,"Decent housing mandatory criteria not met",IF('Background calculations'!R52=FALSE,"Missing 2 or more decent housing 'additional' criteria",""))),"")</f>
        <v/>
      </c>
      <c r="I43" s="22" t="n"/>
      <c r="J43" s="22" t="n"/>
      <c r="K43" s="140" t="n"/>
    </row>
    <row r="44">
      <c r="B44" s="139" t="n"/>
      <c r="C44" s="242" t="inlineStr">
        <is>
          <t>Survey #11</t>
        </is>
      </c>
      <c r="D44" s="452" t="n">
        <v>128167</v>
      </c>
      <c r="E44" s="244" t="n">
        <v>2</v>
      </c>
      <c r="F44" s="245">
        <f>IFERROR(IF('Background calculations'!C53,"Met","Not met"),"")</f>
        <v/>
      </c>
      <c r="G44" s="453">
        <f>IFERROR(IF('Background calculations'!C53,D44/E44,""),"")</f>
        <v/>
      </c>
      <c r="H44" s="397">
        <f>IFERROR(IF('Background calculations'!S53="No","Participant has been excluded from study",IF('Background calculations'!M53=FALSE,"Decent housing mandatory criteria not met",IF('Background calculations'!R53=FALSE,"Missing 2 or more decent housing 'additional' criteria",""))),"")</f>
        <v/>
      </c>
      <c r="I44" s="22" t="n"/>
      <c r="J44" s="22" t="n"/>
      <c r="K44" s="140" t="n"/>
    </row>
    <row r="45">
      <c r="B45" s="139" t="n"/>
      <c r="C45" s="242" t="inlineStr">
        <is>
          <t>Survey #12</t>
        </is>
      </c>
      <c r="D45" s="452" t="n">
        <v>255000</v>
      </c>
      <c r="E45" s="244" t="n">
        <v>3</v>
      </c>
      <c r="F45" s="245">
        <f>IFERROR(IF('Background calculations'!C54,"Met","Not met"),"")</f>
        <v/>
      </c>
      <c r="G45" s="453">
        <f>IFERROR(IF('Background calculations'!C54,D45/E45,""),"")</f>
        <v/>
      </c>
      <c r="H45" s="397">
        <f>IFERROR(IF('Background calculations'!S54="No","Participant has been excluded from study",IF('Background calculations'!M54=FALSE,"Decent housing mandatory criteria not met",IF('Background calculations'!R54=FALSE,"Missing 2 or more decent housing 'additional' criteria",""))),"")</f>
        <v/>
      </c>
      <c r="I45" s="22" t="n"/>
      <c r="J45" s="22" t="n"/>
      <c r="K45" s="140" t="n"/>
    </row>
    <row r="46">
      <c r="B46" s="139" t="n"/>
      <c r="C46" s="242" t="inlineStr">
        <is>
          <t>Survey #13</t>
        </is>
      </c>
      <c r="D46" s="452" t="n">
        <v>80600</v>
      </c>
      <c r="E46" s="244" t="n">
        <v>3</v>
      </c>
      <c r="F46" s="245">
        <f>IFERROR(IF('Background calculations'!C55,"Met","Not met"),"")</f>
        <v/>
      </c>
      <c r="G46" s="453">
        <f>IFERROR(IF('Background calculations'!C55,D46/E46,""),"")</f>
        <v/>
      </c>
      <c r="H46" s="397">
        <f>IFERROR(IF('Background calculations'!S55="No","Participant has been excluded from study",IF('Background calculations'!M55=FALSE,"Decent housing mandatory criteria not met",IF('Background calculations'!R55=FALSE,"Missing 2 or more decent housing 'additional' criteria",""))),"")</f>
        <v/>
      </c>
      <c r="I46" s="22" t="n"/>
      <c r="J46" s="22" t="n"/>
      <c r="K46" s="140" t="n"/>
    </row>
    <row r="47">
      <c r="B47" s="139" t="n"/>
      <c r="C47" s="242" t="inlineStr">
        <is>
          <t>Survey #14</t>
        </is>
      </c>
      <c r="D47" s="452" t="n">
        <v>93000</v>
      </c>
      <c r="E47" s="244" t="n">
        <v>3</v>
      </c>
      <c r="F47" s="245">
        <f>IFERROR(IF('Background calculations'!C56,"Met","Not met"),"")</f>
        <v/>
      </c>
      <c r="G47" s="453">
        <f>IFERROR(IF('Background calculations'!C56,D47/E47,""),"")</f>
        <v/>
      </c>
      <c r="H47" s="397">
        <f>IFERROR(IF('Background calculations'!S56="No","Participant has been excluded from study",IF('Background calculations'!M56=FALSE,"Decent housing mandatory criteria not met",IF('Background calculations'!R56=FALSE,"Missing 2 or more decent housing 'additional' criteria",""))),"")</f>
        <v/>
      </c>
      <c r="I47" s="22" t="n"/>
      <c r="J47" s="22" t="n"/>
      <c r="K47" s="140" t="n"/>
      <c r="T47" s="63" t="n"/>
    </row>
    <row r="48">
      <c r="B48" s="139" t="n"/>
      <c r="C48" s="247" t="inlineStr">
        <is>
          <t>Survey #15</t>
        </is>
      </c>
      <c r="D48" s="452" t="n">
        <v>111680</v>
      </c>
      <c r="E48" s="244" t="n">
        <v>2</v>
      </c>
      <c r="F48" s="245">
        <f>IFERROR(IF('Background calculations'!C57,"Met","Not met"),"")</f>
        <v/>
      </c>
      <c r="G48" s="453">
        <f>IFERROR(IF('Background calculations'!C57,D48/E48,""),"")</f>
        <v/>
      </c>
      <c r="H48" s="397">
        <f>IFERROR(IF('Background calculations'!S57="No","Participant has been excluded from study",IF('Background calculations'!M57=FALSE,"Decent housing mandatory criteria not met",IF('Background calculations'!R57=FALSE,"Missing 2 or more decent housing 'additional' criteria",""))),"")</f>
        <v/>
      </c>
      <c r="I48" s="22" t="n"/>
      <c r="J48" s="22" t="n"/>
      <c r="K48" s="140" t="n"/>
    </row>
    <row r="49">
      <c r="B49" s="139" t="n"/>
      <c r="K49" s="140" t="n"/>
    </row>
    <row r="50">
      <c r="B50" s="139" t="n"/>
      <c r="F50" s="248" t="inlineStr">
        <is>
          <t>Estimated Cost per Room (average)</t>
        </is>
      </c>
      <c r="G50" s="455">
        <f>IFERROR(AVERAGE(G34:G48),"")</f>
        <v/>
      </c>
      <c r="K50" s="140" t="n"/>
    </row>
    <row r="51" ht="16" customHeight="1" thickBot="1">
      <c r="B51" s="142" t="n"/>
      <c r="C51" s="143" t="n"/>
      <c r="D51" s="143" t="n"/>
      <c r="E51" s="250" t="n"/>
      <c r="F51" s="143" t="n"/>
      <c r="G51" s="143" t="n"/>
      <c r="H51" s="143" t="n"/>
      <c r="I51" s="143" t="n"/>
      <c r="J51" s="143" t="n"/>
      <c r="K51" s="145" t="n"/>
    </row>
    <row r="52">
      <c r="E52" s="251" t="n"/>
    </row>
    <row r="53">
      <c r="M53" s="132" t="n"/>
    </row>
    <row r="55">
      <c r="D55" s="329" t="n"/>
    </row>
    <row r="68">
      <c r="T68" s="456" t="n"/>
      <c r="U68" s="456" t="n"/>
      <c r="V68" s="456" t="n"/>
    </row>
    <row r="78">
      <c r="F78" s="450" t="n"/>
      <c r="G78" s="450" t="n"/>
      <c r="H78" s="450" t="n"/>
      <c r="I78" s="450" t="n"/>
      <c r="J78" s="450" t="n"/>
    </row>
  </sheetData>
  <mergeCells count="17">
    <mergeCell ref="H38:J38"/>
    <mergeCell ref="H33:J33"/>
    <mergeCell ref="H46:J46"/>
    <mergeCell ref="H42:J42"/>
    <mergeCell ref="H36:J36"/>
    <mergeCell ref="H44:J44"/>
    <mergeCell ref="H41:J41"/>
    <mergeCell ref="C11:D11"/>
    <mergeCell ref="H37:J37"/>
    <mergeCell ref="H47:J47"/>
    <mergeCell ref="H40:J40"/>
    <mergeCell ref="H34:J34"/>
    <mergeCell ref="H35:J35"/>
    <mergeCell ref="H39:J39"/>
    <mergeCell ref="H48:J48"/>
    <mergeCell ref="H45:J45"/>
    <mergeCell ref="H43:J43"/>
  </mergeCells>
  <conditionalFormatting sqref="F34:F48">
    <cfRule type="containsText" priority="3" operator="containsText" dxfId="1" text="Not met">
      <formula>NOT(ISERROR(SEARCH("Not met",F34)))</formula>
    </cfRule>
    <cfRule type="containsText" priority="4" operator="containsText" dxfId="0" text="Met">
      <formula>NOT(ISERROR(SEARCH("Met",F34)))</formula>
    </cfRule>
  </conditionalFormatting>
  <conditionalFormatting sqref="L34:L48">
    <cfRule type="aboveAverage" priority="1" aboveAverage="0" dxfId="11" stdDev="2"/>
    <cfRule type="aboveAverage" priority="2" dxfId="11" stdDev="2"/>
  </conditionalFormatting>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theme="9" tint="0.5999938962981048"/>
    <outlinePr summaryBelow="1" summaryRight="1"/>
    <pageSetUpPr/>
  </sheetPr>
  <dimension ref="A2:X53"/>
  <sheetViews>
    <sheetView showGridLines="0" topLeftCell="A22" zoomScale="52" zoomScaleNormal="70" workbookViewId="0">
      <selection activeCell="I16" sqref="I15:S19"/>
    </sheetView>
  </sheetViews>
  <sheetFormatPr baseColWidth="10" defaultColWidth="8.83203125" defaultRowHeight="15"/>
  <cols>
    <col width="3.1640625" customWidth="1" style="22" min="1" max="1"/>
    <col width="32" customWidth="1" style="22" min="2" max="2"/>
    <col width="42.1640625" customWidth="1" style="22" min="3" max="3"/>
    <col width="29.1640625" customWidth="1" style="22" min="4" max="4"/>
    <col width="18.1640625" customWidth="1" style="75" min="5" max="5"/>
    <col width="10.1640625" customWidth="1" style="75" min="6" max="6"/>
    <col width="11" bestFit="1" customWidth="1" style="75" min="7" max="7"/>
    <col width="10.1640625" customWidth="1" style="75" min="8" max="8"/>
    <col width="10.5" customWidth="1" style="75" min="9" max="9"/>
    <col width="10.1640625" customWidth="1" style="75" min="10" max="12"/>
    <col width="12" customWidth="1" style="75" min="13" max="13"/>
    <col width="12.5" bestFit="1" customWidth="1" style="75" min="14" max="14"/>
    <col width="11" bestFit="1" customWidth="1" style="75" min="15" max="15"/>
    <col width="11.5" customWidth="1" style="75" min="16" max="16"/>
    <col width="10.1640625" customWidth="1" style="75" min="17" max="19"/>
    <col width="10.1640625" customWidth="1" style="22" min="20" max="20"/>
    <col width="34.5" customWidth="1" style="22" min="21" max="21"/>
    <col width="68.83203125" customWidth="1" style="22" min="22" max="22"/>
    <col width="8.83203125" customWidth="1" style="22" min="23" max="16384"/>
  </cols>
  <sheetData>
    <row r="2" ht="62" customHeight="1">
      <c r="A2" s="228" t="inlineStr">
        <is>
          <t>Estimating housing costs</t>
        </is>
      </c>
    </row>
    <row r="4" ht="21" customHeight="1">
      <c r="B4" s="126" t="inlineStr">
        <is>
          <t>ASSESS LOCAL DECENT HOUSING STANDARD</t>
        </is>
      </c>
      <c r="C4" s="28" t="n"/>
      <c r="D4" s="28" t="n"/>
      <c r="E4" s="29" t="n"/>
      <c r="F4" s="29" t="n"/>
      <c r="G4" s="29" t="n"/>
      <c r="H4" s="29" t="n"/>
      <c r="I4" s="126" t="n"/>
      <c r="J4" s="28" t="n"/>
      <c r="K4" s="28" t="n"/>
      <c r="L4" s="29" t="n"/>
      <c r="M4" s="29" t="n"/>
      <c r="N4" s="29" t="n"/>
      <c r="O4" s="29" t="n"/>
      <c r="P4" s="126" t="n"/>
      <c r="Q4" s="28" t="n"/>
      <c r="R4" s="28" t="n"/>
      <c r="S4" s="29" t="n"/>
    </row>
    <row r="6" ht="21" customHeight="1">
      <c r="B6" s="155" t="inlineStr">
        <is>
          <t>Guidance</t>
        </is>
      </c>
      <c r="C6" s="184" t="n"/>
      <c r="E6" s="22" t="n"/>
      <c r="F6" s="22" t="n"/>
      <c r="G6" s="22" t="n"/>
      <c r="H6" s="22" t="n"/>
      <c r="I6" s="22" t="n"/>
    </row>
    <row r="7" ht="104.25" customHeight="1">
      <c r="B7" s="417" t="inlineStr">
        <is>
          <t xml:space="preserve">In this tab, the user needs to provide the minimum level of decency for the 8 criteria (cells D10-D19). These critieria will be used by the user to assess if a house meets the decency standard.
1) Mandatory criteria (cells D10-D13): do not edit those criteria. Those criteria are based on minimum international standards and are assumed to be fixed 
2) Additional criteria (cells D16-D19): Instert the criteria that are specific for the study.  In order to define an appropriate minimum local decent standard for the region of your study, you can refer to the guidance provided in the Local Decent Housing Standard Guideline document.
</t>
        </is>
      </c>
      <c r="C7" s="22" t="n"/>
      <c r="D7" s="22" t="n"/>
      <c r="E7" s="22" t="n"/>
      <c r="F7" s="22" t="n"/>
      <c r="G7" s="22" t="n"/>
      <c r="H7" s="22" t="n"/>
      <c r="I7" s="22" t="n"/>
      <c r="J7" s="22" t="n"/>
      <c r="K7" s="22" t="n"/>
      <c r="L7" s="22" t="n"/>
      <c r="M7" s="22" t="n"/>
      <c r="N7" s="22" t="n"/>
      <c r="O7" s="22" t="n"/>
      <c r="P7" s="22" t="n"/>
      <c r="Q7" s="22" t="n"/>
      <c r="R7" s="22" t="n"/>
      <c r="S7" s="22" t="n"/>
    </row>
    <row r="9">
      <c r="B9" s="413" t="inlineStr">
        <is>
          <t>Mandatory criteria</t>
        </is>
      </c>
      <c r="C9" s="457" t="n"/>
      <c r="D9" s="413" t="inlineStr">
        <is>
          <t>Minimum local decent standard</t>
        </is>
      </c>
      <c r="E9" s="458" t="n"/>
      <c r="F9" s="458" t="n"/>
      <c r="G9" s="457" t="n"/>
    </row>
    <row r="10" ht="65.5" customHeight="1">
      <c r="B10" s="406" t="inlineStr">
        <is>
          <t>Living space</t>
        </is>
      </c>
      <c r="C10" s="457" t="n"/>
      <c r="D10" s="459" t="inlineStr">
        <is>
          <t>2 or less persons per room excluding kitchen and toilet and bath. However, could be one big room of at least 30 square meters for a family of 5 (minimum 6 square meters per person)</t>
        </is>
      </c>
      <c r="E10" s="458" t="n"/>
      <c r="F10" s="458" t="n"/>
      <c r="G10" s="457" t="n"/>
      <c r="I10" s="22" t="n"/>
    </row>
    <row r="11" ht="148" customHeight="1">
      <c r="B11" s="406" t="inlineStr">
        <is>
          <t>Durable walls structure: permanent material (e.g. brick, cement, Stone, well-joined walls)</t>
        </is>
      </c>
      <c r="C11" s="457" t="n"/>
      <c r="D11" s="459" t="inlineStr">
        <is>
          <t>The minimum standard is to have permanent walls.
Accepted: Brick/cement/stone/well-joined walls
Unaccepted: Mud, mud with Stone, sticks, bamboo or iron sheets are unacceptable. Wood-walls is unacceptable in case of high risks of hurricanes in the region</t>
        </is>
      </c>
      <c r="E11" s="458" t="n"/>
      <c r="F11" s="458" t="n"/>
      <c r="G11" s="457" t="n"/>
    </row>
    <row r="12" ht="109" customHeight="1">
      <c r="B12" s="406" t="inlineStr">
        <is>
          <t>Durable roof structure: permanent material (e.g. zinc or iron sheet, corrugated iron, cement, tile roof)</t>
        </is>
      </c>
      <c r="C12" s="457" t="n"/>
      <c r="D12" s="459" t="inlineStr">
        <is>
          <t>The minimum standard is to have permanent roof without leaks. 
Accepted: Zinc or iron sheet/corrugated iron/ cement/tile roof
Unaccepted: Thatch is unacceptable</t>
        </is>
      </c>
      <c r="E12" s="458" t="n"/>
      <c r="F12" s="458" t="n"/>
      <c r="G12" s="457" t="n"/>
    </row>
    <row r="13" ht="118" customHeight="1">
      <c r="B13" s="406" t="inlineStr">
        <is>
          <t>Durable floor structure: permanent material (e.g. cement, Stone, tile, Wood)</t>
        </is>
      </c>
      <c r="C13" s="457" t="n"/>
      <c r="D13" s="459" t="inlineStr">
        <is>
          <t>The minimum standard is to have permanent floor above ground. 
Accepted: Cement/stone/tile/wood floor
Unaccepted: Mud, earth/dung, thatch</t>
        </is>
      </c>
      <c r="E13" s="458" t="n"/>
      <c r="F13" s="458" t="n"/>
      <c r="G13" s="457" t="n"/>
    </row>
    <row r="14" ht="14.5" customHeight="1">
      <c r="T14" s="75" t="n"/>
      <c r="U14" s="75" t="n"/>
    </row>
    <row r="15" ht="14.5" customHeight="1">
      <c r="B15" s="413" t="inlineStr">
        <is>
          <t>Additional criteria</t>
        </is>
      </c>
      <c r="C15" s="457" t="n"/>
      <c r="D15" s="413" t="inlineStr">
        <is>
          <t>Minimum local decent standard</t>
        </is>
      </c>
      <c r="E15" s="458" t="n"/>
      <c r="F15" s="458" t="n"/>
      <c r="G15" s="457" t="n"/>
      <c r="I15" s="410" t="inlineStr">
        <is>
          <t>Instructions</t>
        </is>
      </c>
      <c r="J15" s="22" t="n"/>
      <c r="K15" s="22" t="n"/>
      <c r="L15" s="22" t="n"/>
      <c r="M15" s="22" t="n"/>
      <c r="N15" s="22" t="n"/>
      <c r="O15" s="22" t="n"/>
      <c r="P15" s="22" t="n"/>
      <c r="Q15" s="22" t="n"/>
      <c r="R15" s="22" t="n"/>
      <c r="S15" s="22" t="n"/>
    </row>
    <row r="16" ht="176.25" customHeight="1">
      <c r="B16" s="406" t="inlineStr">
        <is>
          <t>Toilet: Safe toilet in or outside the house (at least pit latrine with slab and walls)</t>
        </is>
      </c>
      <c r="C16" s="457" t="n"/>
      <c r="D16" s="460" t="inlineStr">
        <is>
          <t>Safe toilet in or near house. 
Unaccepted: Pit latrine without slab or open pit is unacceptable
We consider pit latrine with slab minimum acceptable</t>
        </is>
      </c>
      <c r="E16" s="461" t="n"/>
      <c r="F16" s="461" t="n"/>
      <c r="G16" s="462" t="n"/>
      <c r="I16" s="411" t="inlineStr">
        <is>
          <t>Minimum local decency standard level can changes between different countries (e.g. based on the level of development of the country or cultural differences). Even within the same country, minimum local decency standards might vary depending on the zone (e.g. rural vs urban areas). 
To define a minimum local decency standard that fits the region of the study for the Additional criteria (cells D16-D19), please review the guidance provided in the Local Decent Housing Standard Guideline document. In that document, there are already pre-defined minimum criteria for the three zones (urban, peri-urban, and rural) that can be used as reference for each study.</t>
        </is>
      </c>
      <c r="J16" s="22" t="n"/>
      <c r="K16" s="22" t="n"/>
      <c r="L16" s="22" t="n"/>
      <c r="M16" s="22" t="n"/>
      <c r="N16" s="22" t="n"/>
      <c r="O16" s="22" t="n"/>
      <c r="P16" s="22" t="n"/>
      <c r="Q16" s="22" t="n"/>
      <c r="R16" s="22" t="n"/>
      <c r="S16" s="22" t="n"/>
    </row>
    <row r="17" ht="152.25" customHeight="1">
      <c r="B17" s="406" t="inlineStr">
        <is>
          <t xml:space="preserve">Access to water </t>
        </is>
      </c>
      <c r="C17" s="457" t="n"/>
      <c r="D17" s="460" t="inlineStr">
        <is>
          <t>Safe water in or near house. Unprotected wells are unacceptable. Walking distance from water source &lt;3km
River water is okay for shower or other use, but not acceptable for drinking.</t>
        </is>
      </c>
      <c r="E17" s="461" t="n"/>
      <c r="F17" s="461" t="n"/>
      <c r="G17" s="462" t="n"/>
      <c r="I17" s="22" t="n"/>
      <c r="J17" s="22" t="n"/>
      <c r="K17" s="22" t="n"/>
      <c r="L17" s="22" t="n"/>
      <c r="M17" s="22" t="n"/>
      <c r="N17" s="22" t="n"/>
      <c r="O17" s="22" t="n"/>
      <c r="P17" s="22" t="n"/>
      <c r="Q17" s="22" t="n"/>
      <c r="R17" s="22" t="n"/>
      <c r="S17" s="22" t="n"/>
    </row>
    <row r="18" ht="148" customHeight="1">
      <c r="B18" s="406" t="inlineStr">
        <is>
          <t>Adequate cooking facility - separate kitchen with adequate evacuation of fumes if cooking indoors (chimney or window in the kitchen)</t>
        </is>
      </c>
      <c r="C18" s="457" t="n"/>
      <c r="D18" s="460" t="inlineStr">
        <is>
          <t xml:space="preserve">Cooking can be done outside the house, if indoors adequate ventilation required if kitchen is inside house (minimum of a window in the kitchen) </t>
        </is>
      </c>
      <c r="E18" s="461" t="n"/>
      <c r="F18" s="461" t="n"/>
      <c r="G18" s="462" t="n"/>
      <c r="I18" s="22" t="n"/>
      <c r="J18" s="22" t="n"/>
      <c r="K18" s="22" t="n"/>
      <c r="L18" s="22" t="n"/>
      <c r="M18" s="22" t="n"/>
      <c r="N18" s="22" t="n"/>
      <c r="O18" s="22" t="n"/>
      <c r="P18" s="22" t="n"/>
      <c r="Q18" s="22" t="n"/>
      <c r="R18" s="22" t="n"/>
      <c r="S18" s="22" t="n"/>
    </row>
    <row r="19" ht="156" customHeight="1">
      <c r="B19" s="406" t="inlineStr">
        <is>
          <t>Availability of electricity (for lighting or indoor climate control)</t>
        </is>
      </c>
      <c r="C19" s="457" t="n"/>
      <c r="D19" s="460" t="inlineStr">
        <is>
          <t>Grid may not be available. Access to electricity or alternative fuels to provide at least adequate lighting.</t>
        </is>
      </c>
      <c r="E19" s="461" t="n"/>
      <c r="F19" s="461" t="n"/>
      <c r="G19" s="462" t="n"/>
      <c r="I19" s="22" t="n"/>
      <c r="J19" s="22" t="n"/>
      <c r="K19" s="22" t="n"/>
      <c r="L19" s="22" t="n"/>
      <c r="M19" s="22" t="n"/>
      <c r="N19" s="22" t="n"/>
      <c r="O19" s="22" t="n"/>
      <c r="P19" s="22" t="n"/>
      <c r="Q19" s="22" t="n"/>
      <c r="R19" s="22" t="n"/>
      <c r="S19" s="22" t="n"/>
    </row>
    <row r="21" ht="17.25" customHeight="1">
      <c r="B21" s="155" t="inlineStr">
        <is>
          <t>Guidance</t>
        </is>
      </c>
      <c r="C21" s="184" t="n"/>
      <c r="E21" s="22" t="n"/>
      <c r="F21" s="22" t="n"/>
      <c r="G21" s="22" t="n"/>
      <c r="H21" s="22" t="n"/>
      <c r="I21" s="22" t="n"/>
    </row>
    <row r="22" ht="176.25" customHeight="1">
      <c r="B22" s="412" t="inlineStr">
        <is>
          <t>In rows 27-34, the user needs to specify whether the interviewed individuals meet the defined criteria for decent housing defined above. To answers those questions (Yes or No in a dropdown menu), the user must consult the answers from the Cost of Living Survey. Cells B27-B34 provide an indication of where you can find the information in the Cost of Living Survey that will be needed to answer the question. Cells V27-V34 (do not edit) are the criteria that needs to be met (defined in the section above)
Please answer "Yes" if the house of the participant meets that minimum criteria, and "No" if it does not meet that criteria. Based on the answers inserted by the user, the tool will automatically calculate if a participant meets the local standards for decent housing. 
Example:
For instance, if the criteria for Durable Wall structure is "to have permanent walls materials such as brick, cement, and stone", in the case that a participant has a wall made of mud, the user must select "No" in row 28 for that specific participant</t>
        </is>
      </c>
      <c r="C22" s="22" t="n"/>
      <c r="D22" s="22" t="n"/>
      <c r="E22" s="22" t="n"/>
      <c r="F22" s="22" t="n"/>
      <c r="G22" s="22" t="n"/>
      <c r="H22" s="22" t="n"/>
      <c r="I22" s="22" t="n"/>
      <c r="J22" s="22" t="n"/>
      <c r="K22" s="22" t="n"/>
      <c r="L22" s="22" t="n"/>
      <c r="M22" s="22" t="n"/>
      <c r="N22" s="22" t="n"/>
      <c r="O22" s="22" t="n"/>
      <c r="P22" s="22" t="n"/>
      <c r="Q22" s="22" t="n"/>
      <c r="R22" s="22" t="n"/>
      <c r="S22" s="22" t="n"/>
    </row>
    <row r="23" ht="17.25" customHeight="1">
      <c r="E23" s="22" t="n"/>
      <c r="F23" s="22" t="n"/>
      <c r="G23" s="22" t="n"/>
      <c r="H23" s="22" t="n"/>
      <c r="I23" s="22" t="n"/>
      <c r="J23" s="22" t="n"/>
      <c r="K23" s="22" t="n"/>
      <c r="L23" s="22" t="n"/>
      <c r="M23" s="22" t="n"/>
      <c r="N23" s="22" t="n"/>
      <c r="O23" s="22" t="n"/>
      <c r="P23" s="22" t="n"/>
      <c r="Q23" s="22" t="n"/>
      <c r="R23" s="22" t="n"/>
      <c r="S23" s="22" t="n"/>
    </row>
    <row r="24" ht="25.5" customHeight="1">
      <c r="B24" s="463" t="inlineStr">
        <is>
          <t>Does the participants meet the following criteria?</t>
        </is>
      </c>
      <c r="C24" s="458" t="n"/>
      <c r="D24" s="458" t="n"/>
      <c r="E24" s="458" t="n"/>
      <c r="F24" s="458" t="n"/>
      <c r="G24" s="458" t="n"/>
      <c r="H24" s="458" t="n"/>
      <c r="I24" s="458" t="n"/>
      <c r="J24" s="458" t="n"/>
      <c r="K24" s="458" t="n"/>
      <c r="L24" s="458" t="n"/>
      <c r="M24" s="458" t="n"/>
      <c r="N24" s="458" t="n"/>
      <c r="O24" s="458" t="n"/>
      <c r="P24" s="458" t="n"/>
      <c r="Q24" s="458" t="n"/>
      <c r="R24" s="458" t="n"/>
      <c r="S24" s="457" t="n"/>
    </row>
    <row r="25" ht="20.5" customHeight="1">
      <c r="B25" s="407" t="n"/>
      <c r="C25" s="408" t="n"/>
      <c r="D25" s="408" t="n"/>
      <c r="E25" s="405" t="inlineStr">
        <is>
          <t>Participants</t>
        </is>
      </c>
      <c r="F25" s="458" t="n"/>
      <c r="G25" s="458" t="n"/>
      <c r="H25" s="458" t="n"/>
      <c r="I25" s="458" t="n"/>
      <c r="J25" s="458" t="n"/>
      <c r="K25" s="458" t="n"/>
      <c r="L25" s="458" t="n"/>
      <c r="M25" s="458" t="n"/>
      <c r="N25" s="458" t="n"/>
      <c r="O25" s="458" t="n"/>
      <c r="P25" s="458" t="n"/>
      <c r="Q25" s="458" t="n"/>
      <c r="R25" s="458" t="n"/>
      <c r="S25" s="457" t="n"/>
    </row>
    <row r="26" ht="20.5" customHeight="1">
      <c r="B26" s="407" t="n"/>
      <c r="C26" s="408" t="n"/>
      <c r="D26" s="408" t="n"/>
      <c r="E26" s="231" t="n">
        <v>1</v>
      </c>
      <c r="F26" s="231" t="n">
        <v>2</v>
      </c>
      <c r="G26" s="231" t="n">
        <v>3</v>
      </c>
      <c r="H26" s="231" t="n">
        <v>4</v>
      </c>
      <c r="I26" s="231" t="n">
        <v>5</v>
      </c>
      <c r="J26" s="231" t="n">
        <v>6</v>
      </c>
      <c r="K26" s="231" t="n">
        <v>7</v>
      </c>
      <c r="L26" s="231" t="n">
        <v>8</v>
      </c>
      <c r="M26" s="231" t="n">
        <v>9</v>
      </c>
      <c r="N26" s="231" t="n">
        <v>10</v>
      </c>
      <c r="O26" s="231" t="n">
        <v>11</v>
      </c>
      <c r="P26" s="231" t="n">
        <v>12</v>
      </c>
      <c r="Q26" s="231" t="n">
        <v>13</v>
      </c>
      <c r="R26" s="231" t="n">
        <v>14</v>
      </c>
      <c r="S26" s="231" t="n">
        <v>15</v>
      </c>
      <c r="U26" s="160" t="inlineStr">
        <is>
          <t>Guidance</t>
        </is>
      </c>
      <c r="V26" s="160" t="n"/>
    </row>
    <row r="27" ht="38.25" customHeight="1">
      <c r="B27" s="464" t="inlineStr">
        <is>
          <t>Do you consider the participant eligible for the study?</t>
        </is>
      </c>
      <c r="C27" s="458" t="n"/>
      <c r="D27" s="457" t="n"/>
      <c r="E27" s="232" t="inlineStr">
        <is>
          <t>Yes</t>
        </is>
      </c>
      <c r="F27" s="232" t="inlineStr">
        <is>
          <t>Yes</t>
        </is>
      </c>
      <c r="G27" s="232" t="inlineStr">
        <is>
          <t>Yes</t>
        </is>
      </c>
      <c r="H27" s="232" t="inlineStr">
        <is>
          <t>Yes</t>
        </is>
      </c>
      <c r="I27" s="232" t="inlineStr">
        <is>
          <t>Yes</t>
        </is>
      </c>
      <c r="J27" s="232" t="inlineStr">
        <is>
          <t>Yes</t>
        </is>
      </c>
      <c r="K27" s="232" t="inlineStr">
        <is>
          <t>Yes</t>
        </is>
      </c>
      <c r="L27" s="232" t="inlineStr">
        <is>
          <t>Yes</t>
        </is>
      </c>
      <c r="M27" s="232" t="inlineStr">
        <is>
          <t>Yes</t>
        </is>
      </c>
      <c r="N27" s="232" t="inlineStr">
        <is>
          <t>Yes</t>
        </is>
      </c>
      <c r="O27" s="232" t="inlineStr">
        <is>
          <t>Yes</t>
        </is>
      </c>
      <c r="P27" s="232" t="inlineStr">
        <is>
          <t>Yes</t>
        </is>
      </c>
      <c r="Q27" s="232" t="inlineStr">
        <is>
          <t>Yes</t>
        </is>
      </c>
      <c r="R27" s="232" t="inlineStr">
        <is>
          <t>Yes</t>
        </is>
      </c>
      <c r="S27" s="232" t="inlineStr">
        <is>
          <t>Yes</t>
        </is>
      </c>
      <c r="U27" s="465" t="inlineStr">
        <is>
          <t>Exclude from the study individuals living in their place of work or temporary accomodation (e.g. hotel room)</t>
        </is>
      </c>
      <c r="V27" s="466" t="n"/>
    </row>
    <row r="28" ht="38.25" customHeight="1">
      <c r="B28" s="96" t="inlineStr">
        <is>
          <t>4. Durable structure (materials)</t>
        </is>
      </c>
      <c r="C28" s="96" t="inlineStr">
        <is>
          <t>Materials used for walls</t>
        </is>
      </c>
      <c r="D28" s="96" t="inlineStr">
        <is>
          <t>Durable walls</t>
        </is>
      </c>
      <c r="E28" s="232" t="inlineStr">
        <is>
          <t>Yes</t>
        </is>
      </c>
      <c r="F28" s="232" t="inlineStr">
        <is>
          <t>Yes</t>
        </is>
      </c>
      <c r="G28" s="232" t="inlineStr">
        <is>
          <t>Yes</t>
        </is>
      </c>
      <c r="H28" s="232" t="inlineStr">
        <is>
          <t>Yes</t>
        </is>
      </c>
      <c r="I28" s="232" t="inlineStr">
        <is>
          <t>Yes</t>
        </is>
      </c>
      <c r="J28" s="232" t="inlineStr">
        <is>
          <t>Yes</t>
        </is>
      </c>
      <c r="K28" s="232" t="inlineStr">
        <is>
          <t>Yes</t>
        </is>
      </c>
      <c r="L28" s="232" t="inlineStr">
        <is>
          <t>Yes</t>
        </is>
      </c>
      <c r="M28" s="232" t="inlineStr">
        <is>
          <t>Yes</t>
        </is>
      </c>
      <c r="N28" s="232" t="inlineStr">
        <is>
          <t>Yes</t>
        </is>
      </c>
      <c r="O28" s="232" t="inlineStr">
        <is>
          <t>Yes</t>
        </is>
      </c>
      <c r="P28" s="232" t="inlineStr">
        <is>
          <t>No</t>
        </is>
      </c>
      <c r="Q28" s="232" t="inlineStr">
        <is>
          <t>Yes</t>
        </is>
      </c>
      <c r="R28" s="232" t="inlineStr">
        <is>
          <t>Yes</t>
        </is>
      </c>
      <c r="S28" s="232" t="inlineStr">
        <is>
          <t>Yes</t>
        </is>
      </c>
      <c r="U28" s="233" t="inlineStr">
        <is>
          <t>Does the house of the participant meet the following criteria:</t>
        </is>
      </c>
      <c r="V28" s="233">
        <f>D11</f>
        <v/>
      </c>
    </row>
    <row r="29" ht="38.25" customHeight="1">
      <c r="B29" s="96" t="inlineStr">
        <is>
          <t>4. Durable structure (materials)</t>
        </is>
      </c>
      <c r="C29" s="96" t="inlineStr">
        <is>
          <t>Materials used for roof</t>
        </is>
      </c>
      <c r="D29" s="96" t="inlineStr">
        <is>
          <t>Durable roof</t>
        </is>
      </c>
      <c r="E29" s="232" t="inlineStr">
        <is>
          <t>Yes</t>
        </is>
      </c>
      <c r="F29" s="232" t="inlineStr">
        <is>
          <t>Yes</t>
        </is>
      </c>
      <c r="G29" s="232" t="inlineStr">
        <is>
          <t>Yes</t>
        </is>
      </c>
      <c r="H29" s="232" t="inlineStr">
        <is>
          <t>Yes</t>
        </is>
      </c>
      <c r="I29" s="232" t="inlineStr">
        <is>
          <t>Yes</t>
        </is>
      </c>
      <c r="J29" s="232" t="inlineStr">
        <is>
          <t>Yes</t>
        </is>
      </c>
      <c r="K29" s="232" t="inlineStr">
        <is>
          <t>Yes</t>
        </is>
      </c>
      <c r="L29" s="232" t="inlineStr">
        <is>
          <t>Yes</t>
        </is>
      </c>
      <c r="M29" s="232" t="inlineStr">
        <is>
          <t>Yes</t>
        </is>
      </c>
      <c r="N29" s="232" t="inlineStr">
        <is>
          <t>Yes</t>
        </is>
      </c>
      <c r="O29" s="232" t="inlineStr">
        <is>
          <t>Yes</t>
        </is>
      </c>
      <c r="P29" s="232" t="inlineStr">
        <is>
          <t>Yes</t>
        </is>
      </c>
      <c r="Q29" s="232" t="inlineStr">
        <is>
          <t>Yes</t>
        </is>
      </c>
      <c r="R29" s="232" t="inlineStr">
        <is>
          <t>Yes</t>
        </is>
      </c>
      <c r="S29" s="232" t="inlineStr">
        <is>
          <t>Yes</t>
        </is>
      </c>
      <c r="U29" s="233" t="inlineStr">
        <is>
          <t>Does the house of the participant meet the following criteria:</t>
        </is>
      </c>
      <c r="V29" s="233">
        <f>D12</f>
        <v/>
      </c>
    </row>
    <row r="30" ht="38.25" customHeight="1">
      <c r="B30" s="96" t="inlineStr">
        <is>
          <t>4. Durable structure (materials)</t>
        </is>
      </c>
      <c r="C30" s="96" t="inlineStr">
        <is>
          <t>Materials used for floors</t>
        </is>
      </c>
      <c r="D30" s="96" t="inlineStr">
        <is>
          <t>Durable floor</t>
        </is>
      </c>
      <c r="E30" s="232" t="inlineStr">
        <is>
          <t>Yes</t>
        </is>
      </c>
      <c r="F30" s="232" t="inlineStr">
        <is>
          <t>Yes</t>
        </is>
      </c>
      <c r="G30" s="232" t="inlineStr">
        <is>
          <t>Yes</t>
        </is>
      </c>
      <c r="H30" s="232" t="inlineStr">
        <is>
          <t>Yes</t>
        </is>
      </c>
      <c r="I30" s="232" t="inlineStr">
        <is>
          <t>Yes</t>
        </is>
      </c>
      <c r="J30" s="232" t="inlineStr">
        <is>
          <t>Yes</t>
        </is>
      </c>
      <c r="K30" s="232" t="inlineStr">
        <is>
          <t>No</t>
        </is>
      </c>
      <c r="L30" s="232" t="inlineStr">
        <is>
          <t>No</t>
        </is>
      </c>
      <c r="M30" s="232" t="inlineStr">
        <is>
          <t>No</t>
        </is>
      </c>
      <c r="N30" s="232" t="inlineStr">
        <is>
          <t>No</t>
        </is>
      </c>
      <c r="O30" s="232" t="inlineStr">
        <is>
          <t>Yes</t>
        </is>
      </c>
      <c r="P30" s="232" t="inlineStr">
        <is>
          <t>No</t>
        </is>
      </c>
      <c r="Q30" s="232" t="inlineStr">
        <is>
          <t>Yes</t>
        </is>
      </c>
      <c r="R30" s="232" t="inlineStr">
        <is>
          <t>Yes</t>
        </is>
      </c>
      <c r="S30" s="232" t="inlineStr">
        <is>
          <t>Yes</t>
        </is>
      </c>
      <c r="U30" s="233" t="inlineStr">
        <is>
          <t>Does the house of the participant meet the following criteria:</t>
        </is>
      </c>
      <c r="V30" s="233">
        <f>D13</f>
        <v/>
      </c>
    </row>
    <row r="31" ht="38.25" customHeight="1">
      <c r="B31" s="96" t="inlineStr">
        <is>
          <t>5. Safe sanitation</t>
        </is>
      </c>
      <c r="C31" s="96" t="inlineStr">
        <is>
          <t>Does the household meet the minimum decency criteria?</t>
        </is>
      </c>
      <c r="D31" s="96" t="inlineStr">
        <is>
          <t>Safe sanitation?</t>
        </is>
      </c>
      <c r="E31" s="232" t="inlineStr">
        <is>
          <t>Yes</t>
        </is>
      </c>
      <c r="F31" s="232" t="inlineStr">
        <is>
          <t>Yes</t>
        </is>
      </c>
      <c r="G31" s="232" t="inlineStr">
        <is>
          <t>Yes</t>
        </is>
      </c>
      <c r="H31" s="232" t="inlineStr">
        <is>
          <t>Yes</t>
        </is>
      </c>
      <c r="I31" s="232" t="inlineStr">
        <is>
          <t>Yes</t>
        </is>
      </c>
      <c r="J31" s="232" t="inlineStr">
        <is>
          <t>Yes</t>
        </is>
      </c>
      <c r="K31" s="232" t="inlineStr">
        <is>
          <t>Yes</t>
        </is>
      </c>
      <c r="L31" s="232" t="inlineStr">
        <is>
          <t>Yes</t>
        </is>
      </c>
      <c r="M31" s="232" t="inlineStr">
        <is>
          <t>Yes</t>
        </is>
      </c>
      <c r="N31" s="232" t="inlineStr">
        <is>
          <t>Yes</t>
        </is>
      </c>
      <c r="O31" s="232" t="inlineStr">
        <is>
          <t>Yes</t>
        </is>
      </c>
      <c r="P31" s="232" t="inlineStr">
        <is>
          <t>Yes</t>
        </is>
      </c>
      <c r="Q31" s="232" t="inlineStr">
        <is>
          <t>Yes</t>
        </is>
      </c>
      <c r="R31" s="232" t="inlineStr">
        <is>
          <t>Yes</t>
        </is>
      </c>
      <c r="S31" s="232" t="inlineStr">
        <is>
          <t>Yes</t>
        </is>
      </c>
      <c r="U31" s="233" t="inlineStr">
        <is>
          <t>Does the house of the participant meet the following criteria:</t>
        </is>
      </c>
      <c r="V31" s="233">
        <f>D16</f>
        <v/>
      </c>
    </row>
    <row r="32" ht="38.25" customHeight="1">
      <c r="B32" s="96" t="inlineStr">
        <is>
          <t>6. Access to water</t>
        </is>
      </c>
      <c r="C32" s="96" t="inlineStr">
        <is>
          <t>Does the household meet the minimum decency criteria?</t>
        </is>
      </c>
      <c r="D32" s="96" t="inlineStr">
        <is>
          <t>Access to water</t>
        </is>
      </c>
      <c r="E32" s="232" t="inlineStr">
        <is>
          <t>No</t>
        </is>
      </c>
      <c r="F32" s="232" t="inlineStr">
        <is>
          <t>Yes</t>
        </is>
      </c>
      <c r="G32" s="232" t="inlineStr">
        <is>
          <t>Yes</t>
        </is>
      </c>
      <c r="H32" s="232" t="inlineStr">
        <is>
          <t>Yes</t>
        </is>
      </c>
      <c r="I32" s="232" t="inlineStr">
        <is>
          <t>Yes</t>
        </is>
      </c>
      <c r="J32" s="232" t="inlineStr">
        <is>
          <t>Yes</t>
        </is>
      </c>
      <c r="K32" s="232" t="inlineStr">
        <is>
          <t>No</t>
        </is>
      </c>
      <c r="L32" s="232" t="inlineStr">
        <is>
          <t>Yes</t>
        </is>
      </c>
      <c r="M32" s="232" t="inlineStr">
        <is>
          <t>Yes</t>
        </is>
      </c>
      <c r="N32" s="232" t="inlineStr">
        <is>
          <t>Yes</t>
        </is>
      </c>
      <c r="O32" s="232" t="inlineStr">
        <is>
          <t>Yes</t>
        </is>
      </c>
      <c r="P32" s="232" t="inlineStr">
        <is>
          <t>Yes</t>
        </is>
      </c>
      <c r="Q32" s="232" t="inlineStr">
        <is>
          <t>Yes</t>
        </is>
      </c>
      <c r="R32" s="232" t="inlineStr">
        <is>
          <t>Yes</t>
        </is>
      </c>
      <c r="S32" s="232" t="inlineStr">
        <is>
          <t>Yes</t>
        </is>
      </c>
      <c r="U32" s="233" t="inlineStr">
        <is>
          <t>Does the house of the participant meet the following criteria:</t>
        </is>
      </c>
      <c r="V32" s="233">
        <f>D17</f>
        <v/>
      </c>
    </row>
    <row r="33" ht="58.5" customHeight="1">
      <c r="B33" s="96" t="inlineStr">
        <is>
          <t>7. Adequate coocking facility</t>
        </is>
      </c>
      <c r="C33" s="96" t="inlineStr">
        <is>
          <t>Does the household meet the minimum decency criteria?</t>
        </is>
      </c>
      <c r="D33" s="96" t="inlineStr">
        <is>
          <t>Adequate cooking facility</t>
        </is>
      </c>
      <c r="E33" s="232" t="inlineStr">
        <is>
          <t>Yes</t>
        </is>
      </c>
      <c r="F33" s="232" t="inlineStr">
        <is>
          <t>Yes</t>
        </is>
      </c>
      <c r="G33" s="232" t="inlineStr">
        <is>
          <t>Yes</t>
        </is>
      </c>
      <c r="H33" s="232" t="inlineStr">
        <is>
          <t>Yes</t>
        </is>
      </c>
      <c r="I33" s="232" t="inlineStr">
        <is>
          <t>Yes</t>
        </is>
      </c>
      <c r="J33" s="232" t="inlineStr">
        <is>
          <t>Yes</t>
        </is>
      </c>
      <c r="K33" s="232" t="inlineStr">
        <is>
          <t>Yes</t>
        </is>
      </c>
      <c r="L33" s="232" t="inlineStr">
        <is>
          <t>Yes</t>
        </is>
      </c>
      <c r="M33" s="232" t="inlineStr">
        <is>
          <t>Yes</t>
        </is>
      </c>
      <c r="N33" s="232" t="inlineStr">
        <is>
          <t>Yes</t>
        </is>
      </c>
      <c r="O33" s="232" t="inlineStr">
        <is>
          <t>Yes</t>
        </is>
      </c>
      <c r="P33" s="371" t="inlineStr">
        <is>
          <t>Yes</t>
        </is>
      </c>
      <c r="Q33" s="232" t="inlineStr">
        <is>
          <t>Yes</t>
        </is>
      </c>
      <c r="R33" s="232" t="inlineStr">
        <is>
          <t>Yes</t>
        </is>
      </c>
      <c r="S33" s="232" t="inlineStr">
        <is>
          <t>Yes</t>
        </is>
      </c>
      <c r="U33" s="233" t="inlineStr">
        <is>
          <t>Does the house of the participant meet the following criteria:</t>
        </is>
      </c>
      <c r="V33" s="233">
        <f>D18</f>
        <v/>
      </c>
    </row>
    <row r="34" ht="38.25" customHeight="1">
      <c r="B34" s="96" t="inlineStr">
        <is>
          <t>8. Energy sources</t>
        </is>
      </c>
      <c r="C34" s="96" t="inlineStr">
        <is>
          <t>Does the household meet the minimum decency criteria?</t>
        </is>
      </c>
      <c r="D34" s="96" t="inlineStr">
        <is>
          <t>Access to electricity</t>
        </is>
      </c>
      <c r="E34" s="232" t="inlineStr">
        <is>
          <t>Yes</t>
        </is>
      </c>
      <c r="F34" s="232" t="inlineStr">
        <is>
          <t>Yes</t>
        </is>
      </c>
      <c r="G34" s="232" t="inlineStr">
        <is>
          <t>Yes</t>
        </is>
      </c>
      <c r="H34" s="232" t="inlineStr">
        <is>
          <t>Yes</t>
        </is>
      </c>
      <c r="I34" s="232" t="inlineStr">
        <is>
          <t>Yes</t>
        </is>
      </c>
      <c r="J34" s="232" t="inlineStr">
        <is>
          <t>Yes</t>
        </is>
      </c>
      <c r="K34" s="232" t="inlineStr">
        <is>
          <t>Yes</t>
        </is>
      </c>
      <c r="L34" s="232" t="inlineStr">
        <is>
          <t>Yes</t>
        </is>
      </c>
      <c r="M34" s="232" t="inlineStr">
        <is>
          <t>Yes</t>
        </is>
      </c>
      <c r="N34" s="232" t="inlineStr">
        <is>
          <t>Yes</t>
        </is>
      </c>
      <c r="O34" s="232" t="inlineStr">
        <is>
          <t>Yes</t>
        </is>
      </c>
      <c r="P34" s="232" t="inlineStr">
        <is>
          <t>Yes</t>
        </is>
      </c>
      <c r="Q34" s="232" t="inlineStr">
        <is>
          <t>Yes</t>
        </is>
      </c>
      <c r="R34" s="232" t="inlineStr">
        <is>
          <t>Yes</t>
        </is>
      </c>
      <c r="S34" s="232" t="inlineStr">
        <is>
          <t>Yes</t>
        </is>
      </c>
      <c r="U34" s="233" t="inlineStr">
        <is>
          <t>Does the house of the participant meet the following criteria:</t>
        </is>
      </c>
      <c r="V34" s="233">
        <f>D19</f>
        <v/>
      </c>
    </row>
    <row r="35">
      <c r="T35" s="75" t="n"/>
      <c r="U35" s="75" t="n"/>
      <c r="V35" s="75" t="n"/>
      <c r="W35" s="75" t="n"/>
      <c r="X35" s="75" t="n"/>
    </row>
    <row r="36">
      <c r="P36" s="362" t="n"/>
      <c r="T36" s="75" t="n"/>
      <c r="U36" s="75" t="n"/>
      <c r="V36" s="75" t="n"/>
      <c r="W36" s="75" t="n"/>
      <c r="X36" s="75" t="n"/>
    </row>
    <row r="37">
      <c r="T37" s="75" t="n"/>
      <c r="U37" s="75" t="n"/>
      <c r="V37" s="75" t="n"/>
      <c r="W37" s="75" t="n"/>
      <c r="X37" s="75" t="n"/>
    </row>
    <row r="38">
      <c r="T38" s="75" t="n"/>
      <c r="U38" s="75" t="n"/>
      <c r="V38" s="75" t="n"/>
      <c r="W38" s="75" t="n"/>
      <c r="X38" s="75" t="n"/>
    </row>
    <row r="39">
      <c r="T39" s="75" t="n"/>
      <c r="U39" s="75" t="n"/>
      <c r="V39" s="75" t="n"/>
      <c r="W39" s="75" t="n"/>
      <c r="X39" s="75" t="n"/>
    </row>
    <row r="40">
      <c r="T40" s="75" t="n"/>
      <c r="U40" s="75" t="n"/>
      <c r="V40" s="75" t="n"/>
      <c r="W40" s="75" t="n"/>
      <c r="X40" s="75" t="n"/>
    </row>
    <row r="41">
      <c r="T41" s="75" t="n"/>
      <c r="U41" s="75" t="n"/>
      <c r="V41" s="75" t="n"/>
      <c r="W41" s="75" t="n"/>
      <c r="X41" s="75" t="n"/>
    </row>
    <row r="42">
      <c r="T42" s="75" t="n"/>
      <c r="U42" s="75" t="n"/>
      <c r="V42" s="75" t="n"/>
      <c r="W42" s="75" t="n"/>
      <c r="X42" s="75" t="n"/>
    </row>
    <row r="43">
      <c r="T43" s="75" t="n"/>
      <c r="U43" s="75" t="n"/>
      <c r="V43" s="75" t="n"/>
      <c r="W43" s="75" t="n"/>
      <c r="X43" s="75" t="n"/>
    </row>
    <row r="44">
      <c r="T44" s="75" t="n"/>
      <c r="U44" s="75" t="n"/>
      <c r="V44" s="75" t="n"/>
      <c r="W44" s="75" t="n"/>
      <c r="X44" s="75" t="n"/>
    </row>
    <row r="45">
      <c r="B45" s="34" t="n"/>
      <c r="C45" s="34" t="n"/>
      <c r="D45" s="63" t="n"/>
      <c r="E45" s="467" t="n"/>
      <c r="F45" s="467" t="n"/>
      <c r="G45" s="467" t="n"/>
      <c r="H45" s="467" t="n"/>
      <c r="I45" s="467" t="n"/>
      <c r="J45" s="467" t="n"/>
      <c r="K45" s="467" t="n"/>
      <c r="L45" s="467" t="n"/>
      <c r="M45" s="467" t="n"/>
      <c r="N45" s="467" t="n"/>
      <c r="O45" s="467" t="n"/>
      <c r="P45" s="467" t="n"/>
      <c r="Q45" s="467" t="n"/>
      <c r="R45" s="467" t="n"/>
      <c r="S45" s="467" t="n"/>
      <c r="T45" s="467" t="n"/>
      <c r="U45" s="467" t="n"/>
      <c r="V45" s="467" t="n"/>
      <c r="W45" s="467" t="n"/>
      <c r="X45" s="467" t="n"/>
    </row>
    <row r="47">
      <c r="C47" s="34" t="n"/>
      <c r="D47" s="63" t="n"/>
    </row>
    <row r="48">
      <c r="B48" s="34" t="n"/>
      <c r="C48" s="34" t="n"/>
      <c r="D48" s="63" t="n"/>
      <c r="E48" s="467" t="n"/>
      <c r="F48" s="467" t="n"/>
      <c r="G48" s="467" t="n"/>
      <c r="H48" s="467" t="n"/>
      <c r="I48" s="467" t="n"/>
      <c r="J48" s="467" t="n"/>
      <c r="K48" s="467" t="n"/>
      <c r="L48" s="467" t="n"/>
      <c r="M48" s="467" t="n"/>
      <c r="N48" s="467" t="n"/>
      <c r="O48" s="467" t="n"/>
      <c r="P48" s="467" t="n"/>
      <c r="Q48" s="467" t="n"/>
      <c r="R48" s="467" t="n"/>
      <c r="S48" s="467" t="n"/>
    </row>
    <row r="49">
      <c r="B49" s="34" t="n"/>
      <c r="C49" s="34" t="n"/>
      <c r="D49" s="63" t="n"/>
      <c r="E49" s="467" t="n"/>
      <c r="F49" s="467" t="n"/>
      <c r="G49" s="467" t="n"/>
      <c r="H49" s="467" t="n"/>
      <c r="I49" s="467" t="n"/>
      <c r="J49" s="467" t="n"/>
      <c r="K49" s="467" t="n"/>
      <c r="L49" s="467" t="n"/>
      <c r="M49" s="467" t="n"/>
      <c r="N49" s="467" t="n"/>
      <c r="O49" s="467" t="n"/>
      <c r="P49" s="467" t="n"/>
      <c r="Q49" s="467" t="n"/>
      <c r="R49" s="467" t="n"/>
      <c r="S49" s="467" t="n"/>
    </row>
    <row r="50">
      <c r="B50" s="34" t="n"/>
      <c r="C50" s="34" t="n"/>
      <c r="D50" s="63" t="n"/>
      <c r="E50" s="467" t="n"/>
      <c r="F50" s="467" t="n"/>
      <c r="G50" s="467" t="n"/>
      <c r="H50" s="467" t="n"/>
      <c r="I50" s="467" t="n"/>
      <c r="J50" s="467" t="n"/>
      <c r="K50" s="467" t="n"/>
      <c r="L50" s="467" t="n"/>
      <c r="M50" s="467" t="n"/>
      <c r="N50" s="467" t="n"/>
      <c r="O50" s="467" t="n"/>
      <c r="P50" s="467" t="n"/>
      <c r="Q50" s="467" t="n"/>
      <c r="R50" s="467" t="n"/>
      <c r="S50" s="467" t="n"/>
    </row>
    <row r="51">
      <c r="B51" s="34" t="n"/>
      <c r="C51" s="34" t="n"/>
      <c r="D51" s="63" t="n"/>
      <c r="E51" s="467" t="n"/>
      <c r="F51" s="467" t="n"/>
      <c r="G51" s="467" t="n"/>
      <c r="H51" s="467" t="n"/>
      <c r="I51" s="467" t="n"/>
      <c r="J51" s="467" t="n"/>
      <c r="K51" s="467" t="n"/>
      <c r="L51" s="467" t="n"/>
      <c r="M51" s="467" t="n"/>
      <c r="N51" s="467" t="n"/>
      <c r="O51" s="467" t="n"/>
      <c r="P51" s="467" t="n"/>
      <c r="Q51" s="467" t="n"/>
      <c r="R51" s="467" t="n"/>
      <c r="S51" s="467" t="n"/>
    </row>
    <row r="52">
      <c r="B52" s="34" t="n"/>
      <c r="C52" s="34" t="n"/>
      <c r="D52" s="63" t="n"/>
      <c r="E52" s="467" t="n"/>
      <c r="F52" s="467" t="n"/>
      <c r="G52" s="467" t="n"/>
      <c r="H52" s="467" t="n"/>
      <c r="I52" s="467" t="n"/>
      <c r="J52" s="467" t="n"/>
      <c r="K52" s="467" t="n"/>
      <c r="L52" s="467" t="n"/>
      <c r="M52" s="467" t="n"/>
      <c r="N52" s="467" t="n"/>
      <c r="O52" s="467" t="n"/>
      <c r="P52" s="467" t="n"/>
      <c r="Q52" s="467" t="n"/>
      <c r="R52" s="467" t="n"/>
      <c r="S52" s="467" t="n"/>
    </row>
    <row r="53">
      <c r="B53" s="34" t="n"/>
      <c r="C53" s="34" t="n"/>
      <c r="D53" s="63" t="n"/>
      <c r="E53" s="467" t="n"/>
      <c r="F53" s="467" t="n"/>
      <c r="G53" s="467" t="n"/>
      <c r="H53" s="467" t="n"/>
      <c r="I53" s="467" t="n"/>
      <c r="J53" s="467" t="n"/>
      <c r="K53" s="467" t="n"/>
      <c r="L53" s="467" t="n"/>
      <c r="M53" s="467" t="n"/>
      <c r="N53" s="467" t="n"/>
      <c r="O53" s="467" t="n"/>
      <c r="P53" s="467" t="n"/>
      <c r="Q53" s="467" t="n"/>
      <c r="R53" s="467" t="n"/>
      <c r="S53" s="467" t="n"/>
    </row>
  </sheetData>
  <mergeCells count="28">
    <mergeCell ref="D18:G18"/>
    <mergeCell ref="B16:C16"/>
    <mergeCell ref="D9:G9"/>
    <mergeCell ref="D12:G12"/>
    <mergeCell ref="I15:S15"/>
    <mergeCell ref="D15:G15"/>
    <mergeCell ref="B18:C18"/>
    <mergeCell ref="U27:V27"/>
    <mergeCell ref="B12:C12"/>
    <mergeCell ref="B11:C11"/>
    <mergeCell ref="D19:G19"/>
    <mergeCell ref="B17:C17"/>
    <mergeCell ref="D10:G10"/>
    <mergeCell ref="B13:C13"/>
    <mergeCell ref="E25:S25"/>
    <mergeCell ref="B24:S24"/>
    <mergeCell ref="B19:C19"/>
    <mergeCell ref="B10:C10"/>
    <mergeCell ref="D13:G13"/>
    <mergeCell ref="D11:G11"/>
    <mergeCell ref="B9:C9"/>
    <mergeCell ref="D17:G17"/>
    <mergeCell ref="B7:S7"/>
    <mergeCell ref="B15:C15"/>
    <mergeCell ref="D16:G16"/>
    <mergeCell ref="B22:S22"/>
    <mergeCell ref="B27:D27"/>
    <mergeCell ref="I16:S19"/>
  </mergeCells>
  <dataValidations count="1">
    <dataValidation sqref="E27:S34" showDropDown="0" showInputMessage="1" showErrorMessage="1" allowBlank="1" type="list">
      <formula1>"Yes,No"</formula1>
    </dataValidation>
  </dataValidation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tabColor theme="7"/>
    <outlinePr summaryBelow="1" summaryRight="1"/>
    <pageSetUpPr/>
  </sheetPr>
  <dimension ref="A2:X225"/>
  <sheetViews>
    <sheetView showGridLines="0" topLeftCell="A11" zoomScale="56" zoomScaleNormal="136" workbookViewId="0">
      <selection activeCell="E18" sqref="E18"/>
    </sheetView>
  </sheetViews>
  <sheetFormatPr baseColWidth="10" defaultColWidth="8.83203125" defaultRowHeight="15"/>
  <cols>
    <col width="2.83203125" customWidth="1" style="22" min="1" max="1"/>
    <col width="2.1640625" customWidth="1" style="22" min="2" max="2"/>
    <col width="37" customWidth="1" style="22" min="3" max="3"/>
    <col width="26.1640625" customWidth="1" style="22" min="4" max="4"/>
    <col width="20.83203125" customWidth="1" style="22" min="5" max="5"/>
    <col width="17" customWidth="1" style="22" min="6" max="6"/>
    <col width="18.1640625" customWidth="1" style="22" min="7" max="7"/>
    <col width="13.5" customWidth="1" style="22" min="8" max="8"/>
    <col width="7.83203125" customWidth="1" style="22" min="9" max="9"/>
    <col width="4.1640625" customWidth="1" style="22" min="10" max="10"/>
    <col width="15" customWidth="1" style="22" min="11" max="14"/>
    <col width="14.5" customWidth="1" style="22" min="15" max="17"/>
    <col width="9.1640625" customWidth="1" style="22" min="18" max="20"/>
    <col width="8.83203125" customWidth="1" style="22" min="21" max="16384"/>
  </cols>
  <sheetData>
    <row r="2" ht="62" customHeight="1">
      <c r="B2" s="131" t="inlineStr">
        <is>
          <t>Estimating food costs</t>
        </is>
      </c>
      <c r="C2" s="132" t="n"/>
    </row>
    <row r="4" ht="21" customHeight="1">
      <c r="B4" s="120" t="inlineStr">
        <is>
          <t>1) ESTIMATE FOOD COSTS FOR REFERENCE SIZE FAMILY</t>
        </is>
      </c>
      <c r="C4" s="121" t="n"/>
      <c r="D4" s="122" t="n"/>
      <c r="E4" s="122" t="n"/>
      <c r="F4" s="122" t="n"/>
      <c r="G4" s="122" t="n"/>
      <c r="H4" s="122" t="n"/>
      <c r="I4" s="122" t="n"/>
      <c r="J4" s="122" t="n"/>
      <c r="K4" s="122" t="n"/>
      <c r="L4" s="122" t="n"/>
      <c r="M4" s="122" t="n"/>
      <c r="N4" s="122" t="n"/>
      <c r="O4" s="122" t="n"/>
      <c r="P4" s="122" t="n"/>
      <c r="Q4" s="122" t="n"/>
      <c r="R4" s="122" t="n"/>
      <c r="S4" s="122" t="n"/>
      <c r="T4" s="122" t="n"/>
      <c r="U4" s="122" t="n"/>
      <c r="V4" s="122" t="n"/>
      <c r="W4" s="122" t="n"/>
      <c r="X4" s="122" t="n"/>
    </row>
    <row r="6" ht="21" customHeight="1">
      <c r="B6" s="155" t="inlineStr">
        <is>
          <t>Guidance</t>
        </is>
      </c>
      <c r="C6" s="155" t="n"/>
      <c r="D6" s="155" t="n"/>
      <c r="E6" s="155" t="n"/>
      <c r="F6" s="155" t="n"/>
    </row>
    <row r="7" ht="30.75" customHeight="1">
      <c r="B7" s="421" t="inlineStr">
        <is>
          <t xml:space="preserve">This tab provides the results of the Food cost analysis. Do not edit cells and tables rin this tab
</t>
        </is>
      </c>
      <c r="C7" s="22" t="n"/>
      <c r="D7" s="22" t="n"/>
      <c r="E7" s="22" t="n"/>
      <c r="F7" s="22" t="n"/>
    </row>
    <row r="9" ht="16" customHeight="1" thickBot="1">
      <c r="C9" s="60" t="n"/>
      <c r="D9" s="184" t="n"/>
    </row>
    <row r="10" ht="44.25" customHeight="1">
      <c r="B10" s="135" t="n"/>
      <c r="C10" s="136" t="inlineStr">
        <is>
          <t>FOOD COSTS</t>
        </is>
      </c>
      <c r="D10" s="137" t="n"/>
      <c r="E10" s="137" t="n"/>
      <c r="F10" s="137" t="n"/>
      <c r="G10" s="137" t="n"/>
      <c r="H10" s="138" t="n"/>
    </row>
    <row r="11">
      <c r="B11" s="139" t="n"/>
      <c r="H11" s="140" t="n"/>
    </row>
    <row r="12">
      <c r="B12" s="139" t="n"/>
      <c r="C12" s="60" t="inlineStr">
        <is>
          <t>Results for Reference Household Size</t>
        </is>
      </c>
      <c r="H12" s="211" t="n"/>
    </row>
    <row r="13" ht="16" customHeight="1" thickBot="1">
      <c r="B13" s="139" t="n"/>
      <c r="C13" s="60" t="n"/>
      <c r="E13" s="436" t="inlineStr">
        <is>
          <t>LCU/month</t>
        </is>
      </c>
      <c r="F13" s="436" t="n"/>
      <c r="G13" s="436" t="inlineStr">
        <is>
          <t>USD/month</t>
        </is>
      </c>
      <c r="H13" s="211" t="n"/>
    </row>
    <row r="14" ht="16" customHeight="1" thickBot="1">
      <c r="B14" s="139" t="n"/>
      <c r="C14" s="212" t="inlineStr">
        <is>
          <t>Monthly Household Food Cost</t>
        </is>
      </c>
      <c r="D14" s="104" t="n"/>
      <c r="E14" s="468">
        <f>IFERROR(SUMPRODUCT('Background calculations'!D134:D136,'3. Food costs'!E25:E27),"")-(D95*E27)</f>
        <v/>
      </c>
      <c r="F14" s="214" t="n"/>
      <c r="G14" s="469">
        <f>IFERROR(E14/'OUTPUT_Living wage'!E10,"")</f>
        <v/>
      </c>
      <c r="H14" s="211" t="n"/>
    </row>
    <row r="15">
      <c r="B15" s="139" t="n"/>
      <c r="F15" s="436" t="n"/>
      <c r="H15" s="211" t="n"/>
    </row>
    <row r="16">
      <c r="B16" s="139" t="n"/>
      <c r="F16" s="436" t="n"/>
      <c r="H16" s="211" t="n"/>
    </row>
    <row r="17" ht="14.5" customHeight="1">
      <c r="B17" s="139" t="n"/>
      <c r="C17" s="185" t="inlineStr">
        <is>
          <t>Model diet cost for one adult (male)</t>
        </is>
      </c>
      <c r="E17" s="22" t="inlineStr">
        <is>
          <t>LCU/adult male/day</t>
        </is>
      </c>
      <c r="F17" s="436" t="n"/>
      <c r="G17" s="22" t="inlineStr">
        <is>
          <t>USD/adult male/day</t>
        </is>
      </c>
      <c r="H17" s="211" t="n"/>
    </row>
    <row r="18" ht="15" customHeight="1">
      <c r="B18" s="139" t="n"/>
      <c r="C18" s="22" t="inlineStr">
        <is>
          <t>Estimated Daily Cost</t>
        </is>
      </c>
      <c r="E18" s="470">
        <f>'3. Food costs'!D75</f>
        <v/>
      </c>
      <c r="F18" s="436" t="n"/>
      <c r="G18" s="471">
        <f>IFERROR(E18/'OUTPUT_Living wage'!$E$10,"")</f>
        <v/>
      </c>
      <c r="H18" s="211" t="n"/>
    </row>
    <row r="19" ht="15" customHeight="1">
      <c r="B19" s="139" t="n"/>
      <c r="H19" s="140" t="n"/>
    </row>
    <row r="20" ht="15" customHeight="1">
      <c r="B20" s="139" t="n"/>
      <c r="E20" s="22" t="inlineStr">
        <is>
          <t>LCU/adult male/month</t>
        </is>
      </c>
      <c r="G20" s="22" t="inlineStr">
        <is>
          <t>USD/adult male/month</t>
        </is>
      </c>
      <c r="H20" s="140" t="n"/>
    </row>
    <row r="21" ht="15" customHeight="1">
      <c r="B21" s="139" t="n"/>
      <c r="C21" s="22" t="inlineStr">
        <is>
          <t>Monthly Food Cost</t>
        </is>
      </c>
      <c r="E21" s="470">
        <f>E18*30.43</f>
        <v/>
      </c>
      <c r="F21" s="436" t="n"/>
      <c r="G21" s="471">
        <f>IFERROR(E21/'OUTPUT_Living wage'!$E$10,"")</f>
        <v/>
      </c>
      <c r="H21" s="211" t="n"/>
    </row>
    <row r="22" ht="15" customHeight="1">
      <c r="B22" s="139" t="n"/>
      <c r="F22" s="436" t="n"/>
      <c r="H22" s="211" t="n"/>
    </row>
    <row r="23">
      <c r="B23" s="139" t="n"/>
      <c r="C23" s="60" t="inlineStr">
        <is>
          <t>Houshold Composition</t>
        </is>
      </c>
      <c r="D23" s="34" t="n"/>
      <c r="E23" s="472" t="n"/>
      <c r="F23" s="436" t="n"/>
      <c r="G23" s="472" t="n"/>
      <c r="H23" s="211" t="n"/>
    </row>
    <row r="24">
      <c r="B24" s="139" t="n"/>
      <c r="D24" s="219" t="inlineStr">
        <is>
          <t>Selected</t>
        </is>
      </c>
      <c r="E24" s="22">
        <f>'OUTPUT_Living wage'!E15</f>
        <v/>
      </c>
      <c r="H24" s="211" t="n"/>
    </row>
    <row r="25">
      <c r="B25" s="139" t="n"/>
      <c r="C25" s="22" t="inlineStr">
        <is>
          <t>Adult (male)</t>
        </is>
      </c>
      <c r="D25" s="34" t="inlineStr">
        <is>
          <t>total # in household</t>
        </is>
      </c>
      <c r="E25" s="473">
        <f>'Background calculations'!G10</f>
        <v/>
      </c>
      <c r="F25" s="436" t="n"/>
      <c r="G25" s="473">
        <f>E25</f>
        <v/>
      </c>
      <c r="H25" s="211" t="n"/>
    </row>
    <row r="26">
      <c r="B26" s="139" t="n"/>
      <c r="C26" s="22" t="inlineStr">
        <is>
          <t>Adult (female)</t>
        </is>
      </c>
      <c r="D26" s="34" t="inlineStr">
        <is>
          <t>total # in household</t>
        </is>
      </c>
      <c r="E26" s="473">
        <f>'Background calculations'!G11</f>
        <v/>
      </c>
      <c r="F26" s="436" t="n"/>
      <c r="G26" s="473">
        <f>E26</f>
        <v/>
      </c>
      <c r="H26" s="211" t="n"/>
    </row>
    <row r="27">
      <c r="B27" s="139" t="n"/>
      <c r="C27" s="22" t="inlineStr">
        <is>
          <t>Children</t>
        </is>
      </c>
      <c r="D27" s="34" t="inlineStr">
        <is>
          <t>total # in household</t>
        </is>
      </c>
      <c r="E27" s="474">
        <f>'Background calculations'!G12</f>
        <v/>
      </c>
      <c r="F27" s="436" t="n"/>
      <c r="G27" s="474">
        <f>E27</f>
        <v/>
      </c>
      <c r="H27" s="211" t="n"/>
    </row>
    <row r="28" ht="16" customHeight="1" thickBot="1">
      <c r="B28" s="142" t="n"/>
      <c r="C28" s="143" t="n"/>
      <c r="D28" s="143" t="n"/>
      <c r="E28" s="143" t="n"/>
      <c r="F28" s="143" t="n"/>
      <c r="G28" s="143" t="n"/>
      <c r="H28" s="145" t="n"/>
    </row>
    <row r="30" ht="16" customHeight="1" thickBot="1"/>
    <row r="31" ht="24" customHeight="1">
      <c r="B31" s="135" t="n"/>
      <c r="C31" s="157" t="inlineStr">
        <is>
          <t>ENERGY CONSUMPTION &amp; NUTRITIONAL TARGETS</t>
        </is>
      </c>
      <c r="D31" s="158" t="n"/>
      <c r="E31" s="137" t="n"/>
      <c r="F31" s="138" t="n"/>
      <c r="H31" s="155" t="inlineStr">
        <is>
          <t>Guidance</t>
        </is>
      </c>
    </row>
    <row r="32" ht="15" customHeight="1">
      <c r="B32" s="139" t="n"/>
      <c r="C32" s="183" t="n"/>
      <c r="D32" s="184" t="n"/>
      <c r="F32" s="140" t="n"/>
      <c r="H32" s="417" t="inlineStr">
        <is>
          <t xml:space="preserve">The Energy consumption target (cell D35) can be adjusted by modifyig the minimum and maximum amounts for food items of the model diet (Section 1C of the "Nutritional input" tab, rows 96-114).
The calculated value (cell E35) will turn red if the target value (cell D35) is not met (a 1% error margin is allowed)
</t>
        </is>
      </c>
      <c r="I32" s="22" t="n"/>
      <c r="J32" s="22" t="n"/>
      <c r="K32" s="22" t="n"/>
      <c r="L32" s="22" t="n"/>
      <c r="M32" s="22" t="n"/>
      <c r="N32" s="22" t="n"/>
      <c r="O32" s="22" t="n"/>
      <c r="P32" s="22" t="n"/>
      <c r="Q32" s="22" t="n"/>
    </row>
    <row r="33" ht="18" customHeight="1">
      <c r="B33" s="139" t="n"/>
      <c r="D33" s="88" t="inlineStr">
        <is>
          <t>Target</t>
        </is>
      </c>
      <c r="E33" s="88" t="inlineStr">
        <is>
          <t>Calculated</t>
        </is>
      </c>
      <c r="F33" s="140" t="n"/>
      <c r="H33" s="22" t="n"/>
      <c r="I33" s="22" t="n"/>
      <c r="J33" s="22" t="n"/>
      <c r="K33" s="22" t="n"/>
      <c r="L33" s="22" t="n"/>
      <c r="M33" s="22" t="n"/>
      <c r="N33" s="22" t="n"/>
      <c r="O33" s="22" t="n"/>
      <c r="P33" s="22" t="n"/>
      <c r="Q33" s="22" t="n"/>
    </row>
    <row r="34" ht="18" customHeight="1">
      <c r="B34" s="139" t="n"/>
      <c r="D34" s="50" t="n"/>
      <c r="E34" s="50" t="n"/>
      <c r="F34" s="140" t="n"/>
      <c r="H34" s="22" t="n"/>
      <c r="I34" s="22" t="n"/>
      <c r="J34" s="22" t="n"/>
      <c r="K34" s="22" t="n"/>
      <c r="L34" s="22" t="n"/>
      <c r="M34" s="22" t="n"/>
      <c r="N34" s="22" t="n"/>
      <c r="O34" s="22" t="n"/>
      <c r="P34" s="22" t="n"/>
      <c r="Q34" s="22" t="n"/>
    </row>
    <row r="35" ht="30.75" customHeight="1">
      <c r="B35" s="139" t="n"/>
      <c r="C35" s="185" t="inlineStr">
        <is>
          <t>Energy consumption target (kCal)</t>
        </is>
      </c>
      <c r="D35" s="475">
        <f>'Nutritional input'!E16</f>
        <v/>
      </c>
      <c r="E35" s="187">
        <f>SUM('Background calculations'!AC216:AC234)</f>
        <v/>
      </c>
      <c r="F35" s="140" t="n"/>
      <c r="H35" s="22" t="n"/>
      <c r="I35" s="22" t="n"/>
      <c r="J35" s="22" t="n"/>
      <c r="K35" s="22" t="n"/>
      <c r="L35" s="22" t="n"/>
      <c r="M35" s="22" t="n"/>
      <c r="N35" s="22" t="n"/>
      <c r="O35" s="22" t="n"/>
      <c r="P35" s="22" t="n"/>
      <c r="Q35" s="22" t="n"/>
    </row>
    <row r="36">
      <c r="B36" s="139" t="n"/>
      <c r="D36" s="221" t="n"/>
      <c r="E36" s="436" t="n"/>
      <c r="F36" s="140" t="n"/>
      <c r="H36" s="22" t="n"/>
      <c r="I36" s="22" t="n"/>
      <c r="J36" s="22" t="n"/>
      <c r="K36" s="22" t="n"/>
      <c r="L36" s="22" t="n"/>
      <c r="M36" s="22" t="n"/>
      <c r="N36" s="22" t="n"/>
      <c r="O36" s="22" t="n"/>
      <c r="P36" s="22" t="n"/>
      <c r="Q36" s="22" t="n"/>
    </row>
    <row r="37">
      <c r="B37" s="139" t="n"/>
      <c r="C37" s="188" t="inlineStr">
        <is>
          <t>Energy from Carbohydrates</t>
        </is>
      </c>
      <c r="D37" s="222" t="inlineStr">
        <is>
          <t>55 - 75 %</t>
        </is>
      </c>
      <c r="E37" s="223">
        <f>'Background calculations'!D243</f>
        <v/>
      </c>
      <c r="F37" s="140" t="n"/>
    </row>
    <row r="38">
      <c r="B38" s="139" t="n"/>
      <c r="C38" s="188" t="inlineStr">
        <is>
          <t>Energy from fats</t>
        </is>
      </c>
      <c r="D38" s="222" t="inlineStr">
        <is>
          <t>15 - 30 %</t>
        </is>
      </c>
      <c r="E38" s="223">
        <f>'Background calculations'!F243</f>
        <v/>
      </c>
      <c r="F38" s="140" t="n"/>
    </row>
    <row r="39">
      <c r="B39" s="139" t="n"/>
      <c r="C39" s="188" t="inlineStr">
        <is>
          <t>Energy from proteins</t>
        </is>
      </c>
      <c r="D39" s="222" t="n"/>
      <c r="E39" s="223">
        <f>'Background calculations'!E243</f>
        <v/>
      </c>
      <c r="F39" s="140" t="n"/>
    </row>
    <row r="40">
      <c r="B40" s="139" t="n"/>
      <c r="C40" s="188" t="n"/>
      <c r="D40" s="188" t="n"/>
      <c r="E40" s="188" t="n"/>
      <c r="F40" s="140" t="n"/>
    </row>
    <row r="41">
      <c r="B41" s="139" t="n"/>
      <c r="C41" s="188" t="inlineStr">
        <is>
          <t>Energy from high quality proteins food items*</t>
        </is>
      </c>
      <c r="D41" s="222" t="inlineStr">
        <is>
          <t>&gt;10%</t>
        </is>
      </c>
      <c r="E41" s="223">
        <f>IFERROR(('Background calculations'!AC220+'Background calculations'!AC221+'Background calculations'!AC224+ 'Background calculations'!AC225)  / E35,"")</f>
        <v/>
      </c>
      <c r="F41" s="140" t="n"/>
    </row>
    <row r="42">
      <c r="B42" s="139" t="n"/>
      <c r="C42" s="190" t="inlineStr">
        <is>
          <t>*Pulses, legumes, beans and animal based proteins</t>
        </is>
      </c>
      <c r="F42" s="140" t="n"/>
    </row>
    <row r="43" ht="16" customHeight="1" thickBot="1">
      <c r="B43" s="142" t="n"/>
      <c r="C43" s="191" t="n"/>
      <c r="D43" s="192" t="n"/>
      <c r="E43" s="143" t="n"/>
      <c r="F43" s="145" t="n"/>
    </row>
    <row r="45" ht="16" customHeight="1" thickBot="1"/>
    <row r="46" ht="24" customHeight="1">
      <c r="B46" s="135" t="n"/>
      <c r="C46" s="157" t="inlineStr">
        <is>
          <t>MODEL DIET</t>
        </is>
      </c>
      <c r="D46" s="157" t="n"/>
      <c r="E46" s="157" t="n"/>
      <c r="F46" s="158" t="n"/>
      <c r="G46" s="138" t="n"/>
    </row>
    <row r="47">
      <c r="B47" s="139" t="n"/>
      <c r="G47" s="140" t="n"/>
    </row>
    <row r="48" ht="44.25" customHeight="1">
      <c r="B48" s="139" t="n"/>
      <c r="C48" s="148" t="inlineStr">
        <is>
          <t>Item</t>
        </is>
      </c>
      <c r="D48" s="224" t="inlineStr">
        <is>
          <t>Quantity edible portion (grams/day)</t>
        </is>
      </c>
      <c r="E48" s="224" t="inlineStr">
        <is>
          <t>Quantity to purchase (grams/day)</t>
        </is>
      </c>
      <c r="F48" s="224" t="inlineStr">
        <is>
          <t>Price (LCU/day)</t>
        </is>
      </c>
      <c r="G48" s="140" t="n"/>
    </row>
    <row r="49" ht="15" customHeight="1">
      <c r="B49" s="139" t="n"/>
      <c r="C49" s="22">
        <f>'Nutritional input'!D112</f>
        <v/>
      </c>
      <c r="D49" s="451">
        <f>'Background calculations'!AB216</f>
        <v/>
      </c>
      <c r="E49" s="451">
        <f>D49/_xlfn.XLOOKUP(C49,Table2[Item],Table2[Edible portion])</f>
        <v/>
      </c>
      <c r="F49" s="476">
        <f>_xlfn.XLOOKUP('3. Food costs'!C49,'Food costs - Input data'!C11:C59,'Food costs - Input data'!AE11:AE59,0) / 1000 * '3. Food costs'!E49</f>
        <v/>
      </c>
      <c r="G49" s="140" t="n"/>
    </row>
    <row r="50" ht="15" customHeight="1">
      <c r="B50" s="139" t="n"/>
      <c r="C50" s="22">
        <f>'Nutritional input'!D113</f>
        <v/>
      </c>
      <c r="D50" s="451">
        <f>'Background calculations'!AB217</f>
        <v/>
      </c>
      <c r="E50" s="451">
        <f>D50/_xlfn.XLOOKUP(C50,Table2[Item],Table2[Edible portion])</f>
        <v/>
      </c>
      <c r="F50" s="476">
        <f>_xlfn.XLOOKUP('3. Food costs'!C50,'Food costs - Input data'!C12:C60,'Food costs - Input data'!AE12:AE60,0) / 1000 * '3. Food costs'!E50</f>
        <v/>
      </c>
      <c r="G50" s="140" t="n"/>
    </row>
    <row r="51" ht="15" customHeight="1">
      <c r="B51" s="139" t="n"/>
      <c r="C51" s="22">
        <f>'Nutritional input'!D114</f>
        <v/>
      </c>
      <c r="D51" s="451">
        <f>'Background calculations'!AB218</f>
        <v/>
      </c>
      <c r="E51" s="451">
        <f>D51/_xlfn.XLOOKUP(C51,Table2[Item],Table2[Edible portion])</f>
        <v/>
      </c>
      <c r="F51" s="476">
        <f>_xlfn.XLOOKUP('3. Food costs'!C51,'Food costs - Input data'!C13:C61,'Food costs - Input data'!AE13:AE61,0) / 1000 * '3. Food costs'!E51</f>
        <v/>
      </c>
      <c r="G51" s="140" t="n"/>
      <c r="I51" s="329" t="n"/>
    </row>
    <row r="52" ht="15" customHeight="1">
      <c r="B52" s="139" t="n"/>
      <c r="C52" s="22">
        <f>'Nutritional input'!D115</f>
        <v/>
      </c>
      <c r="D52" s="451">
        <f>'Background calculations'!AB219</f>
        <v/>
      </c>
      <c r="E52" s="451">
        <f>D52/_xlfn.XLOOKUP(C52,Table2[Item],Table2[Edible portion])</f>
        <v/>
      </c>
      <c r="F52" s="476">
        <f>_xlfn.XLOOKUP('3. Food costs'!C52,'Food costs - Input data'!C14:C62,'Food costs - Input data'!AE14:AE62,0) / 1000 * '3. Food costs'!E52</f>
        <v/>
      </c>
      <c r="G52" s="140" t="n"/>
      <c r="I52" s="329" t="n"/>
    </row>
    <row r="53" ht="15" customHeight="1">
      <c r="B53" s="139" t="n"/>
      <c r="C53" s="22">
        <f>'Nutritional input'!D116</f>
        <v/>
      </c>
      <c r="D53" s="451">
        <f>'Background calculations'!AB220</f>
        <v/>
      </c>
      <c r="E53" s="451">
        <f>D53/_xlfn.XLOOKUP(C53,Table2[Item],Table2[Edible portion])</f>
        <v/>
      </c>
      <c r="F53" s="476">
        <f>_xlfn.XLOOKUP('3. Food costs'!C53,'Food costs - Input data'!C15:C63,'Food costs - Input data'!AE15:AE63,0) / 1000 * '3. Food costs'!E53</f>
        <v/>
      </c>
      <c r="G53" s="140" t="n"/>
      <c r="I53" s="329" t="n"/>
    </row>
    <row r="54" ht="15" customHeight="1">
      <c r="B54" s="139" t="n"/>
      <c r="C54" s="22">
        <f>'Nutritional input'!D117</f>
        <v/>
      </c>
      <c r="D54" s="451">
        <f>'Background calculations'!AB221</f>
        <v/>
      </c>
      <c r="E54" s="451">
        <f>D54/_xlfn.XLOOKUP(C54,Table2[Item],Table2[Edible portion])</f>
        <v/>
      </c>
      <c r="F54" s="476">
        <f>_xlfn.XLOOKUP('3. Food costs'!C54,'Food costs - Input data'!C16:C64,'Food costs - Input data'!AE16:AE64,0) / 1000 * '3. Food costs'!E54</f>
        <v/>
      </c>
      <c r="G54" s="140" t="n"/>
      <c r="I54" s="329" t="n"/>
    </row>
    <row r="55" ht="15" customHeight="1">
      <c r="B55" s="139" t="n"/>
      <c r="C55" s="22">
        <f>'Nutritional input'!D118</f>
        <v/>
      </c>
      <c r="D55" s="451">
        <f>'Background calculations'!AB222</f>
        <v/>
      </c>
      <c r="E55" s="451">
        <f>D55/_xlfn.XLOOKUP(C55,Table2[Item],Table2[Edible portion])</f>
        <v/>
      </c>
      <c r="F55" s="476">
        <f>_xlfn.XLOOKUP('3. Food costs'!C55,'Food costs - Input data'!C17:C65,'Food costs - Input data'!AE17:AE65,0) / 1000 * '3. Food costs'!E55</f>
        <v/>
      </c>
      <c r="G55" s="140" t="n"/>
      <c r="I55" s="329" t="n"/>
    </row>
    <row r="56" ht="15" customHeight="1">
      <c r="B56" s="139" t="n"/>
      <c r="C56" s="22">
        <f>'Nutritional input'!D119</f>
        <v/>
      </c>
      <c r="D56" s="451">
        <f>'Background calculations'!AB223</f>
        <v/>
      </c>
      <c r="E56" s="451">
        <f>D56/_xlfn.XLOOKUP(C56,Table2[Item],Table2[Edible portion])</f>
        <v/>
      </c>
      <c r="F56" s="476">
        <f>_xlfn.XLOOKUP('3. Food costs'!C56,'Food costs - Input data'!C18:C66,'Food costs - Input data'!AE18:AE66,0) / 1000 * '3. Food costs'!E56</f>
        <v/>
      </c>
      <c r="G56" s="140" t="n"/>
      <c r="I56" s="329" t="n"/>
    </row>
    <row r="57" ht="15" customHeight="1">
      <c r="B57" s="139" t="n"/>
      <c r="C57" s="22">
        <f>'Nutritional input'!D120</f>
        <v/>
      </c>
      <c r="D57" s="451">
        <f>'Background calculations'!AB224</f>
        <v/>
      </c>
      <c r="E57" s="451">
        <f>D57/_xlfn.XLOOKUP(C57,Table2[Item],Table2[Edible portion])</f>
        <v/>
      </c>
      <c r="F57" s="476">
        <f>_xlfn.XLOOKUP('3. Food costs'!C57,'Food costs - Input data'!C19:C67,'Food costs - Input data'!AE19:AE67,0) / 1000 * '3. Food costs'!E57</f>
        <v/>
      </c>
      <c r="G57" s="140" t="n"/>
      <c r="I57" s="329" t="n"/>
    </row>
    <row r="58" ht="15" customHeight="1">
      <c r="B58" s="139" t="n"/>
      <c r="C58" s="22">
        <f>'Nutritional input'!D121</f>
        <v/>
      </c>
      <c r="D58" s="451">
        <f>'Background calculations'!AB225</f>
        <v/>
      </c>
      <c r="E58" s="451">
        <f>D58/_xlfn.XLOOKUP(C58,Table2[Item],Table2[Edible portion])</f>
        <v/>
      </c>
      <c r="F58" s="476">
        <f>_xlfn.XLOOKUP('3. Food costs'!C58,'Food costs - Input data'!C20:C68,'Food costs - Input data'!AE20:AE68,0) / 1000 * '3. Food costs'!E58</f>
        <v/>
      </c>
      <c r="G58" s="140" t="n"/>
      <c r="I58" s="329" t="n"/>
    </row>
    <row r="59" ht="15" customHeight="1">
      <c r="B59" s="139" t="n"/>
      <c r="C59" s="22">
        <f>'Nutritional input'!D122</f>
        <v/>
      </c>
      <c r="D59" s="451">
        <f>'Background calculations'!AB226</f>
        <v/>
      </c>
      <c r="E59" s="451">
        <f>D59/_xlfn.XLOOKUP(C59,Table2[Item],Table2[Edible portion])</f>
        <v/>
      </c>
      <c r="F59" s="476">
        <f>_xlfn.XLOOKUP('3. Food costs'!C59,'Food costs - Input data'!C21:C69,'Food costs - Input data'!AE21:AE69,0) / 1000 * '3. Food costs'!E59</f>
        <v/>
      </c>
      <c r="G59" s="140" t="n"/>
      <c r="I59" s="329" t="n"/>
    </row>
    <row r="60" ht="15" customHeight="1">
      <c r="B60" s="139" t="n"/>
      <c r="C60" s="22">
        <f>'Nutritional input'!D123</f>
        <v/>
      </c>
      <c r="D60" s="451">
        <f>'Background calculations'!AB227</f>
        <v/>
      </c>
      <c r="E60" s="451">
        <f>D60/_xlfn.XLOOKUP(C60,Table2[Item],Table2[Edible portion])</f>
        <v/>
      </c>
      <c r="F60" s="476">
        <f>_xlfn.XLOOKUP('3. Food costs'!C60,'Food costs - Input data'!C22:C70,'Food costs - Input data'!AE22:AE70,0) / 1000 * '3. Food costs'!E60</f>
        <v/>
      </c>
      <c r="G60" s="140" t="n"/>
      <c r="I60" s="329" t="n"/>
    </row>
    <row r="61" ht="15" customHeight="1">
      <c r="B61" s="139" t="n"/>
      <c r="C61" s="22">
        <f>'Nutritional input'!D124</f>
        <v/>
      </c>
      <c r="D61" s="451">
        <f>'Background calculations'!AB228</f>
        <v/>
      </c>
      <c r="E61" s="451">
        <f>D61/_xlfn.XLOOKUP(C61,Table2[Item],Table2[Edible portion])</f>
        <v/>
      </c>
      <c r="F61" s="476">
        <f>_xlfn.XLOOKUP('3. Food costs'!C61,'Food costs - Input data'!C23:C71,'Food costs - Input data'!AE23:AE71,0) / 1000 * '3. Food costs'!E61</f>
        <v/>
      </c>
      <c r="G61" s="140" t="n"/>
    </row>
    <row r="62" ht="15" customHeight="1">
      <c r="B62" s="139" t="n"/>
      <c r="C62" s="22">
        <f>'Nutritional input'!D125</f>
        <v/>
      </c>
      <c r="D62" s="451">
        <f>'Background calculations'!AB229</f>
        <v/>
      </c>
      <c r="E62" s="451">
        <f>D62/_xlfn.XLOOKUP(C62,Table2[Item],Table2[Edible portion])</f>
        <v/>
      </c>
      <c r="F62" s="476">
        <f>_xlfn.XLOOKUP('3. Food costs'!C62,'Food costs - Input data'!C24:C72,'Food costs - Input data'!AE24:AE72,0) / 1000 * '3. Food costs'!E62</f>
        <v/>
      </c>
      <c r="G62" s="140" t="n"/>
    </row>
    <row r="63" ht="15" customHeight="1">
      <c r="B63" s="139" t="n"/>
      <c r="C63" s="22">
        <f>'Nutritional input'!D126</f>
        <v/>
      </c>
      <c r="D63" s="451">
        <f>'Background calculations'!AB230</f>
        <v/>
      </c>
      <c r="E63" s="451">
        <f>D63/_xlfn.XLOOKUP(C63,Table2[Item],Table2[Edible portion])</f>
        <v/>
      </c>
      <c r="F63" s="476">
        <f>_xlfn.XLOOKUP('3. Food costs'!C63,'Food costs - Input data'!C25:C73,'Food costs - Input data'!AE25:AE73,0) / 1000 * '3. Food costs'!E63</f>
        <v/>
      </c>
      <c r="G63" s="140" t="n"/>
    </row>
    <row r="64" ht="15" customHeight="1">
      <c r="B64" s="139" t="n"/>
      <c r="C64" s="22">
        <f>'Nutritional input'!D127</f>
        <v/>
      </c>
      <c r="D64" s="451">
        <f>'Background calculations'!AB231</f>
        <v/>
      </c>
      <c r="E64" s="451">
        <f>D64/_xlfn.XLOOKUP(C64,Table2[Item],Table2[Edible portion])</f>
        <v/>
      </c>
      <c r="F64" s="476">
        <f>_xlfn.XLOOKUP('3. Food costs'!C64,'Food costs - Input data'!C26:C74,'Food costs - Input data'!AE26:AE74,0) / 1000 * '3. Food costs'!E64</f>
        <v/>
      </c>
      <c r="G64" s="140" t="n"/>
    </row>
    <row r="65" ht="15" customHeight="1">
      <c r="B65" s="139" t="n"/>
      <c r="C65" s="22">
        <f>'Nutritional input'!D128</f>
        <v/>
      </c>
      <c r="D65" s="451">
        <f>'Background calculations'!AB232</f>
        <v/>
      </c>
      <c r="E65" s="451">
        <f>D65/_xlfn.XLOOKUP(C65,Table2[Item],Table2[Edible portion])</f>
        <v/>
      </c>
      <c r="F65" s="476">
        <f>_xlfn.XLOOKUP('3. Food costs'!C65,'Food costs - Input data'!C27:C75,'Food costs - Input data'!AE27:AE75,0) / 1000 * '3. Food costs'!E65</f>
        <v/>
      </c>
      <c r="G65" s="140" t="n"/>
    </row>
    <row r="66" ht="15" customHeight="1">
      <c r="B66" s="139" t="n"/>
      <c r="C66" s="22">
        <f>'Nutritional input'!D129</f>
        <v/>
      </c>
      <c r="D66" s="451">
        <f>'Background calculations'!AB233</f>
        <v/>
      </c>
      <c r="E66" s="451">
        <f>D66/_xlfn.XLOOKUP(C66,Table2[Item],Table2[Edible portion])</f>
        <v/>
      </c>
      <c r="F66" s="476">
        <f>_xlfn.XLOOKUP('3. Food costs'!C66,'Food costs - Input data'!C28:C76,'Food costs - Input data'!AE28:AE76,0) / 1000 * '3. Food costs'!E66</f>
        <v/>
      </c>
      <c r="G66" s="140" t="n"/>
    </row>
    <row r="67" ht="15" customHeight="1">
      <c r="B67" s="139" t="n"/>
      <c r="C67" s="22">
        <f>'Nutritional input'!D130</f>
        <v/>
      </c>
      <c r="D67" s="451">
        <f>'Background calculations'!AB234</f>
        <v/>
      </c>
      <c r="E67" s="451">
        <f>D67/_xlfn.XLOOKUP(C67,Table2[Item],Table2[Edible portion])</f>
        <v/>
      </c>
      <c r="F67" s="476">
        <f>_xlfn.XLOOKUP('3. Food costs'!C67,'Food costs - Input data'!C29:C77,'Food costs - Input data'!AE29:AE77,0) / 1000 * '3. Food costs'!E67</f>
        <v/>
      </c>
      <c r="G67" s="140" t="n"/>
    </row>
    <row r="68" ht="15" customHeight="1">
      <c r="B68" s="139" t="n"/>
      <c r="C68" s="60" t="inlineStr">
        <is>
          <t>Estimated price (LCU per day)</t>
        </is>
      </c>
      <c r="D68" s="436" t="n"/>
      <c r="E68" s="436" t="n"/>
      <c r="F68" s="477">
        <f>SUM(F49:F67)</f>
        <v/>
      </c>
      <c r="G68" s="140" t="n"/>
    </row>
    <row r="69">
      <c r="B69" s="139" t="n"/>
      <c r="G69" s="140" t="n"/>
    </row>
    <row r="70">
      <c r="B70" s="139" t="n"/>
      <c r="C70" s="60" t="inlineStr">
        <is>
          <t>Additional items</t>
        </is>
      </c>
      <c r="D70" s="50" t="inlineStr">
        <is>
          <t>Cost increase</t>
        </is>
      </c>
      <c r="E70" s="50" t="n"/>
      <c r="G70" s="140" t="n"/>
    </row>
    <row r="71">
      <c r="B71" s="139" t="n"/>
      <c r="C71" s="22" t="inlineStr">
        <is>
          <t>Salt, spices, condiments</t>
        </is>
      </c>
      <c r="D71" s="227" t="n">
        <v>0.02</v>
      </c>
      <c r="G71" s="140" t="n"/>
    </row>
    <row r="72">
      <c r="B72" s="139" t="n"/>
      <c r="C72" s="22" t="inlineStr">
        <is>
          <t>Wasteage and spoilage</t>
        </is>
      </c>
      <c r="D72" s="227" t="n">
        <v>0.03</v>
      </c>
      <c r="G72" s="140" t="n"/>
    </row>
    <row r="73">
      <c r="B73" s="139" t="n"/>
      <c r="C73" s="22" t="inlineStr">
        <is>
          <t>Variability</t>
        </is>
      </c>
      <c r="D73" s="227" t="n">
        <v>0.15</v>
      </c>
      <c r="G73" s="140" t="n"/>
    </row>
    <row r="74">
      <c r="B74" s="139" t="n"/>
      <c r="G74" s="140" t="n"/>
    </row>
    <row r="75">
      <c r="B75" s="139" t="n"/>
      <c r="C75" s="60" t="inlineStr">
        <is>
          <t>TOTAL PRICE (LCU/day)</t>
        </is>
      </c>
      <c r="D75" s="477">
        <f>'3. Food costs'!F68+('3. Food costs'!F68*SUM('3. Food costs'!D71:D73))</f>
        <v/>
      </c>
      <c r="G75" s="140" t="n"/>
    </row>
    <row r="76" ht="16" customHeight="1" thickBot="1">
      <c r="B76" s="142" t="n"/>
      <c r="C76" s="191" t="n"/>
      <c r="D76" s="192" t="n"/>
      <c r="E76" s="192" t="n"/>
      <c r="F76" s="143" t="n"/>
      <c r="G76" s="145" t="n"/>
    </row>
    <row r="78" ht="16" customHeight="1" thickBot="1"/>
    <row r="79" ht="24" customHeight="1">
      <c r="B79" s="135" t="n"/>
      <c r="C79" s="157" t="inlineStr">
        <is>
          <t>REPLACEMENT VALUE of MEALS provided at SCHOOL</t>
        </is>
      </c>
      <c r="D79" s="157" t="n"/>
      <c r="E79" s="158" t="n"/>
      <c r="F79" s="138" t="n"/>
    </row>
    <row r="80">
      <c r="B80" s="139" t="n"/>
      <c r="F80" s="140" t="n"/>
    </row>
    <row r="81">
      <c r="B81" s="139" t="n"/>
      <c r="C81" s="22" t="inlineStr">
        <is>
          <t>Years of schools with lunch provided</t>
        </is>
      </c>
      <c r="D81" s="328" t="n">
        <v>0</v>
      </c>
      <c r="F81" s="140" t="n"/>
    </row>
    <row r="82">
      <c r="B82" s="139" t="n"/>
      <c r="C82" s="22" t="inlineStr">
        <is>
          <t>Years of children category</t>
        </is>
      </c>
      <c r="D82" s="327" t="n">
        <v>18</v>
      </c>
      <c r="F82" s="140" t="n"/>
    </row>
    <row r="83">
      <c r="B83" s="139" t="n"/>
      <c r="C83" s="22" t="inlineStr">
        <is>
          <t>Days of school per year</t>
        </is>
      </c>
      <c r="D83" s="328" t="n">
        <v>250</v>
      </c>
      <c r="F83" s="140" t="n"/>
    </row>
    <row r="84">
      <c r="B84" s="139" t="n"/>
      <c r="C84" s="22" t="inlineStr">
        <is>
          <t>Total days in one year</t>
        </is>
      </c>
      <c r="D84" s="327" t="n">
        <v>365</v>
      </c>
      <c r="F84" s="140" t="n"/>
    </row>
    <row r="85">
      <c r="B85" s="139" t="n"/>
      <c r="F85" s="140" t="n"/>
    </row>
    <row r="86" ht="16" customHeight="1">
      <c r="B86" s="139" t="n"/>
      <c r="C86" s="148" t="n"/>
      <c r="D86" s="224" t="inlineStr">
        <is>
          <t>LCU/day</t>
        </is>
      </c>
      <c r="E86" s="224" t="inlineStr">
        <is>
          <t>USD/day</t>
        </is>
      </c>
      <c r="F86" s="140" t="n"/>
    </row>
    <row r="87">
      <c r="B87" s="139" t="n"/>
      <c r="C87" s="22" t="inlineStr">
        <is>
          <t>Cost of model diet for 1 child</t>
        </is>
      </c>
      <c r="D87" s="326">
        <f>E18*'Background calculations'!C251</f>
        <v/>
      </c>
      <c r="E87" s="478">
        <f>IFERROR(D87/'OUTPUT_Living wage'!E10,"")</f>
        <v/>
      </c>
      <c r="F87" s="140" t="n"/>
    </row>
    <row r="88" ht="16" customHeight="1">
      <c r="B88" s="139" t="n"/>
      <c r="C88" s="22" t="inlineStr">
        <is>
          <t>Average value of lunch</t>
        </is>
      </c>
      <c r="D88" s="326">
        <f>D87*'Background calculations'!F250</f>
        <v/>
      </c>
      <c r="E88" s="478">
        <f>IFERROR(D88/'OUTPUT_Living wage'!E10,"")</f>
        <v/>
      </c>
      <c r="F88" s="140" t="n"/>
    </row>
    <row r="89" ht="16" customHeight="1">
      <c r="B89" s="139" t="n"/>
      <c r="C89" s="22" t="inlineStr">
        <is>
          <t>Adjusted value of lunch provided in school</t>
        </is>
      </c>
      <c r="D89" s="476">
        <f>(D81/D82)*D88</f>
        <v/>
      </c>
      <c r="E89" s="478">
        <f>IFERROR(D89/'OUTPUT_Living wage'!E10,"")</f>
        <v/>
      </c>
      <c r="F89" s="140" t="n"/>
    </row>
    <row r="90">
      <c r="B90" s="139" t="n"/>
      <c r="F90" s="140" t="n"/>
    </row>
    <row r="91" ht="16" customHeight="1">
      <c r="B91" s="139" t="n"/>
      <c r="D91" s="224" t="inlineStr">
        <is>
          <t>LCU/year</t>
        </is>
      </c>
      <c r="E91" s="224" t="inlineStr">
        <is>
          <t>USD/year</t>
        </is>
      </c>
      <c r="F91" s="140" t="n"/>
    </row>
    <row r="92">
      <c r="B92" s="139" t="n"/>
      <c r="C92" s="22" t="inlineStr">
        <is>
          <t>Replacement value per year</t>
        </is>
      </c>
      <c r="D92" s="476">
        <f>D89*180</f>
        <v/>
      </c>
      <c r="E92" s="478">
        <f>IFERROR(D92/'OUTPUT_Living wage'!E10,"")</f>
        <v/>
      </c>
      <c r="F92" s="140" t="n"/>
    </row>
    <row r="93">
      <c r="B93" s="139" t="n"/>
      <c r="F93" s="140" t="n"/>
    </row>
    <row r="94" ht="16" customHeight="1">
      <c r="B94" s="139" t="n"/>
      <c r="D94" s="224" t="inlineStr">
        <is>
          <t>LCU/child/month</t>
        </is>
      </c>
      <c r="E94" s="224" t="inlineStr">
        <is>
          <t>USD/month</t>
        </is>
      </c>
      <c r="F94" s="140" t="n"/>
    </row>
    <row r="95">
      <c r="B95" s="139" t="n"/>
      <c r="C95" s="22" t="inlineStr">
        <is>
          <t>Replacement value per month</t>
        </is>
      </c>
      <c r="D95" s="476">
        <f>D92/12</f>
        <v/>
      </c>
      <c r="E95" s="478">
        <f>IFERROR(D95/'OUTPUT_Living wage'!E10,"")</f>
        <v/>
      </c>
      <c r="F95" s="140" t="n"/>
    </row>
    <row r="96" ht="16" customHeight="1" thickBot="1">
      <c r="B96" s="142" t="n"/>
      <c r="C96" s="143" t="n"/>
      <c r="D96" s="143" t="n"/>
      <c r="E96" s="143" t="n"/>
      <c r="F96" s="145" t="n"/>
    </row>
    <row r="98" ht="113.5" customHeight="1"/>
    <row r="105" ht="45" customHeight="1"/>
    <row r="146" ht="15.75" customHeight="1"/>
    <row r="147" ht="23.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26.5" customHeight="1"/>
    <row r="158" ht="15.75" customHeight="1"/>
    <row r="159" ht="15.75" customHeight="1"/>
    <row r="160" ht="15.75" customHeight="1"/>
    <row r="161" ht="35.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23.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 customHeight="1"/>
    <row r="191" ht="15" customHeight="1"/>
    <row r="192" ht="15" customHeight="1"/>
    <row r="193" ht="15" customHeight="1"/>
    <row r="194" ht="15" customHeight="1"/>
    <row r="195" ht="15" customHeight="1"/>
    <row r="196" ht="15" customHeight="1">
      <c r="A196" s="60" t="n"/>
    </row>
    <row r="197" ht="15" customHeight="1">
      <c r="A197" s="60" t="n"/>
    </row>
    <row r="198" ht="15" customHeight="1">
      <c r="A198" s="60" t="n"/>
    </row>
    <row r="199" ht="15" customHeight="1">
      <c r="A199" s="60" t="n"/>
    </row>
    <row r="200" ht="15" customHeight="1">
      <c r="A200" s="60" t="n"/>
    </row>
    <row r="201" ht="23.5" customHeight="1">
      <c r="A201" s="60" t="n"/>
    </row>
    <row r="202" ht="15" customHeight="1">
      <c r="A202" s="60" t="n"/>
    </row>
    <row r="203" ht="15" customHeight="1"/>
    <row r="207">
      <c r="C207" s="60" t="n"/>
      <c r="D207" s="184" t="n"/>
    </row>
    <row r="225">
      <c r="C225" s="60" t="n"/>
      <c r="D225" s="184" t="n"/>
    </row>
  </sheetData>
  <mergeCells count="2">
    <mergeCell ref="H32:Q36"/>
    <mergeCell ref="B7:F7"/>
  </mergeCells>
  <pageMargins left="0.7" right="0.7" top="0.75" bottom="0.75" header="0.3" footer="0.3"/>
  <pageSetup orientation="portrait"/>
  <drawing xmlns:r="http://schemas.openxmlformats.org/officeDocument/2006/relationships" r:id="rId1"/>
</worksheet>
</file>

<file path=xl/worksheets/sheet7.xml><?xml version="1.0" encoding="utf-8"?>
<worksheet xmlns="http://schemas.openxmlformats.org/spreadsheetml/2006/main">
  <sheetPr>
    <tabColor theme="9" tint="0.5999938962981048"/>
    <outlinePr summaryBelow="1" summaryRight="1"/>
    <pageSetUpPr/>
  </sheetPr>
  <dimension ref="A3:S37"/>
  <sheetViews>
    <sheetView showGridLines="0" zoomScale="49" zoomScaleNormal="85" workbookViewId="0">
      <selection activeCell="P33" sqref="P33"/>
    </sheetView>
  </sheetViews>
  <sheetFormatPr baseColWidth="10" defaultColWidth="8.83203125" defaultRowHeight="15"/>
  <cols>
    <col width="31.83203125" customWidth="1" min="1" max="1"/>
    <col width="29.5" customWidth="1" min="2" max="2"/>
    <col width="25.83203125" bestFit="1" customWidth="1" min="3" max="3"/>
    <col width="11.5" bestFit="1" customWidth="1" min="4" max="4"/>
    <col width="9.1640625" bestFit="1" customWidth="1" min="5" max="6"/>
    <col width="9.83203125" bestFit="1" customWidth="1" min="7" max="9"/>
    <col width="9.5" customWidth="1" min="10" max="10"/>
    <col width="9.83203125" bestFit="1" customWidth="1" min="11" max="11"/>
    <col width="9.1640625" bestFit="1" customWidth="1" min="12" max="12"/>
    <col width="10.83203125" bestFit="1" customWidth="1" min="13" max="13"/>
    <col width="9.6640625" bestFit="1" customWidth="1" min="14" max="14"/>
    <col width="9.1640625" bestFit="1" customWidth="1" min="15" max="15"/>
    <col width="8.1640625" bestFit="1" customWidth="1" min="16" max="16"/>
    <col width="11" bestFit="1" customWidth="1" min="17" max="17"/>
    <col width="9.83203125" bestFit="1" customWidth="1" min="18" max="18"/>
    <col width="26.5" customWidth="1" min="20" max="20"/>
    <col width="21.83203125" customWidth="1" min="21" max="21"/>
  </cols>
  <sheetData>
    <row r="3" ht="62" customHeight="1">
      <c r="A3" s="9" t="inlineStr">
        <is>
          <t>Estimating housing costs</t>
        </is>
      </c>
    </row>
    <row r="4" ht="19.5" customHeight="1">
      <c r="A4" s="9" t="n"/>
    </row>
    <row r="5" ht="21" customHeight="1">
      <c r="A5" s="8" t="inlineStr">
        <is>
          <t>1B) HOUSING COSTS FOR REFERENCE HOUSEHOLD SIZE</t>
        </is>
      </c>
      <c r="B5" s="5" t="n"/>
      <c r="C5" s="5" t="n"/>
      <c r="D5" s="6" t="n"/>
      <c r="E5" s="6" t="n"/>
      <c r="F5" s="6" t="n"/>
      <c r="G5" s="6" t="n"/>
      <c r="H5" s="8" t="n"/>
      <c r="I5" s="5" t="n"/>
      <c r="J5" s="5" t="n"/>
      <c r="K5" s="6" t="n"/>
      <c r="L5" s="6" t="n"/>
      <c r="M5" s="6" t="n"/>
      <c r="N5" s="6" t="n"/>
      <c r="O5" s="8" t="n"/>
      <c r="P5" s="5" t="n"/>
      <c r="Q5" s="5" t="n"/>
      <c r="R5" s="6" t="n"/>
    </row>
    <row r="6">
      <c r="I6" s="3" t="n"/>
      <c r="J6" s="3" t="n"/>
      <c r="K6" s="3" t="n"/>
      <c r="L6" s="3" t="n"/>
      <c r="M6" s="3" t="n"/>
      <c r="N6" s="3" t="n"/>
      <c r="O6" s="3" t="n"/>
      <c r="P6" s="3" t="n"/>
      <c r="Q6" s="3" t="n"/>
      <c r="R6" s="3" t="n"/>
    </row>
    <row r="7">
      <c r="A7" s="4" t="inlineStr">
        <is>
          <t>Guidance</t>
        </is>
      </c>
      <c r="B7" s="2" t="n"/>
      <c r="I7" s="3" t="n"/>
      <c r="J7" s="3" t="n"/>
      <c r="K7" s="3" t="n"/>
      <c r="L7" s="3" t="n"/>
      <c r="M7" s="3" t="n"/>
      <c r="N7" s="3" t="n"/>
      <c r="O7" s="3" t="n"/>
      <c r="P7" s="3" t="n"/>
      <c r="Q7" s="3" t="n"/>
      <c r="R7" s="3" t="n"/>
    </row>
    <row r="8" ht="20.5" customHeight="1">
      <c r="A8" s="16" t="inlineStr">
        <is>
          <t>In this tab, the user needs to insert the data collected from the Cost of Living Survey. The data will be used by the tool to estimate the cost for decent housing</t>
        </is>
      </c>
      <c r="B8" s="7" t="n"/>
      <c r="C8" s="1" t="n"/>
      <c r="D8" s="1" t="n"/>
      <c r="E8" s="1" t="n"/>
      <c r="F8" s="1" t="n"/>
      <c r="G8" s="1" t="n"/>
      <c r="H8" s="1" t="n"/>
      <c r="I8" s="1" t="n"/>
      <c r="J8" s="1" t="n"/>
      <c r="K8" s="1" t="n"/>
      <c r="L8" s="1" t="n"/>
      <c r="M8" s="1" t="n"/>
      <c r="N8" s="1" t="n"/>
      <c r="O8" s="1" t="n"/>
      <c r="P8" s="1" t="n"/>
      <c r="Q8" s="1" t="n"/>
      <c r="R8" s="1" t="n"/>
    </row>
    <row r="9" ht="33" customHeight="1">
      <c r="A9" s="423" t="inlineStr">
        <is>
          <t xml:space="preserve">The information in Row 16to Row 33 must be retrieved from the results of the Cost of Living Survey. 
- Column B tells you in which section of the Cost of Living Survey you can find that information. 
- Column C provides an additional description of the question related to that data point
- Column D provides the short definition of the datapoint to be reported in this tab
IMPORTANT: All cost-related data (row 26 to row 33) must be provided in LCU (local currency) per month.
</t>
        </is>
      </c>
    </row>
    <row r="10" ht="30" customHeight="1"/>
    <row r="11" ht="30" customHeight="1"/>
    <row r="12" ht="12.75" customHeight="1"/>
    <row r="13">
      <c r="D13" s="3" t="n"/>
      <c r="E13" s="3" t="n"/>
      <c r="F13" s="3" t="n"/>
      <c r="G13" s="3" t="n"/>
      <c r="H13" s="3" t="n"/>
      <c r="I13" s="3" t="n"/>
      <c r="J13" s="3" t="n"/>
      <c r="K13" s="3" t="n"/>
      <c r="L13" s="3" t="n"/>
      <c r="M13" s="3" t="n"/>
      <c r="N13" s="3" t="n"/>
      <c r="O13" s="3" t="n"/>
      <c r="P13" s="3" t="n"/>
      <c r="Q13" s="3" t="n"/>
      <c r="R13" s="3" t="n"/>
    </row>
    <row r="14">
      <c r="D14" s="422" t="inlineStr">
        <is>
          <t>Participants</t>
        </is>
      </c>
      <c r="E14" s="479" t="n"/>
      <c r="F14" s="479" t="n"/>
      <c r="G14" s="479" t="n"/>
      <c r="H14" s="479" t="n"/>
      <c r="I14" s="479" t="n"/>
      <c r="J14" s="479" t="n"/>
      <c r="K14" s="479" t="n"/>
      <c r="L14" s="479" t="n"/>
      <c r="M14" s="479" t="n"/>
      <c r="N14" s="479" t="n"/>
      <c r="O14" s="479" t="n"/>
      <c r="P14" s="479" t="n"/>
      <c r="Q14" s="479" t="n"/>
      <c r="R14" s="480" t="n"/>
    </row>
    <row r="15" ht="33" customHeight="1">
      <c r="A15" s="18" t="inlineStr">
        <is>
          <t>Section in Survey</t>
        </is>
      </c>
      <c r="B15" s="18" t="inlineStr">
        <is>
          <t>Question from Survey / note</t>
        </is>
      </c>
      <c r="C15" s="18" t="inlineStr">
        <is>
          <t>Line item</t>
        </is>
      </c>
      <c r="D15" s="17" t="n">
        <v>1</v>
      </c>
      <c r="E15" s="17" t="n">
        <v>2</v>
      </c>
      <c r="F15" s="17" t="n">
        <v>3</v>
      </c>
      <c r="G15" s="17" t="n">
        <v>4</v>
      </c>
      <c r="H15" s="17" t="n">
        <v>5</v>
      </c>
      <c r="I15" s="17" t="n">
        <v>6</v>
      </c>
      <c r="J15" s="17" t="n">
        <v>7</v>
      </c>
      <c r="K15" s="17" t="n">
        <v>8</v>
      </c>
      <c r="L15" s="17" t="n">
        <v>9</v>
      </c>
      <c r="M15" s="17" t="n">
        <v>10</v>
      </c>
      <c r="N15" s="17" t="n">
        <v>11</v>
      </c>
      <c r="O15" s="17" t="n">
        <v>12</v>
      </c>
      <c r="P15" s="17" t="n">
        <v>13</v>
      </c>
      <c r="Q15" s="17" t="n">
        <v>14</v>
      </c>
      <c r="R15" s="17" t="n">
        <v>15</v>
      </c>
    </row>
    <row r="16" ht="32" customHeight="1">
      <c r="A16" s="11" t="inlineStr">
        <is>
          <t>2. Household characteristics</t>
        </is>
      </c>
      <c r="B16" s="10" t="inlineStr">
        <is>
          <t>What is the age of the participant? / When were you born?</t>
        </is>
      </c>
      <c r="C16" s="11" t="inlineStr">
        <is>
          <t>Age</t>
        </is>
      </c>
      <c r="D16" s="19" t="n">
        <v>34.5</v>
      </c>
      <c r="E16" s="19" t="n">
        <v>54.5</v>
      </c>
      <c r="F16" s="19" t="n">
        <v>75</v>
      </c>
      <c r="G16" s="19" t="n">
        <v>64.5</v>
      </c>
      <c r="H16" s="19" t="n">
        <v>75</v>
      </c>
      <c r="I16" s="19" t="n">
        <v>54.5</v>
      </c>
      <c r="J16" s="19" t="n">
        <v>44.5</v>
      </c>
      <c r="K16" s="19" t="n">
        <v>24.5</v>
      </c>
      <c r="L16" s="19" t="n">
        <v>54.5</v>
      </c>
      <c r="M16" s="19" t="n">
        <v>54.5</v>
      </c>
      <c r="N16" s="19" t="n">
        <v>54.5</v>
      </c>
      <c r="O16" s="19" t="n">
        <v>75</v>
      </c>
      <c r="P16" s="19" t="n">
        <v>64.5</v>
      </c>
      <c r="Q16" s="19" t="n">
        <v>64.5</v>
      </c>
      <c r="R16" s="19" t="n">
        <v>64.5</v>
      </c>
    </row>
    <row r="17" ht="32" customHeight="1">
      <c r="A17" s="11" t="inlineStr">
        <is>
          <t>2. Household characteristics</t>
        </is>
      </c>
      <c r="B17" s="10" t="inlineStr">
        <is>
          <t>What is the gender of the participant?</t>
        </is>
      </c>
      <c r="C17" s="11" t="inlineStr">
        <is>
          <t>Gender</t>
        </is>
      </c>
      <c r="D17" s="19" t="inlineStr">
        <is>
          <t>F</t>
        </is>
      </c>
      <c r="E17" s="19" t="inlineStr">
        <is>
          <t>F</t>
        </is>
      </c>
      <c r="F17" s="19" t="inlineStr">
        <is>
          <t>F</t>
        </is>
      </c>
      <c r="G17" s="19" t="inlineStr">
        <is>
          <t>M</t>
        </is>
      </c>
      <c r="H17" s="19" t="inlineStr">
        <is>
          <t>F</t>
        </is>
      </c>
      <c r="I17" s="19" t="inlineStr">
        <is>
          <t>F</t>
        </is>
      </c>
      <c r="J17" s="19" t="inlineStr">
        <is>
          <t>F</t>
        </is>
      </c>
      <c r="K17" s="19" t="inlineStr">
        <is>
          <t>F</t>
        </is>
      </c>
      <c r="L17" s="19" t="inlineStr">
        <is>
          <t>F</t>
        </is>
      </c>
      <c r="M17" s="19" t="inlineStr">
        <is>
          <t>M</t>
        </is>
      </c>
      <c r="N17" s="19" t="inlineStr">
        <is>
          <t>M</t>
        </is>
      </c>
      <c r="O17" s="19" t="inlineStr">
        <is>
          <t>F</t>
        </is>
      </c>
      <c r="P17" s="19" t="inlineStr">
        <is>
          <t>F</t>
        </is>
      </c>
      <c r="Q17" s="19" t="inlineStr">
        <is>
          <t>F</t>
        </is>
      </c>
      <c r="R17" s="19" t="inlineStr">
        <is>
          <t>F</t>
        </is>
      </c>
    </row>
    <row r="18" ht="32" customHeight="1">
      <c r="A18" s="11" t="inlineStr">
        <is>
          <t>2. Household characteristics</t>
        </is>
      </c>
      <c r="B18" s="10" t="inlineStr">
        <is>
          <t>How many people live in the house (permanently)?</t>
        </is>
      </c>
      <c r="C18" s="11" t="inlineStr">
        <is>
          <t xml:space="preserve">Household size </t>
        </is>
      </c>
      <c r="D18" s="19" t="n">
        <v>8</v>
      </c>
      <c r="E18" s="19" t="n">
        <v>6</v>
      </c>
      <c r="F18" s="19" t="n">
        <v>9</v>
      </c>
      <c r="G18" s="19" t="n">
        <v>4</v>
      </c>
      <c r="H18" s="19" t="n">
        <v>5</v>
      </c>
      <c r="I18" s="19" t="n">
        <v>6</v>
      </c>
      <c r="J18" s="19" t="n">
        <v>6</v>
      </c>
      <c r="K18" s="19" t="n">
        <v>2</v>
      </c>
      <c r="L18" s="19" t="n">
        <v>8</v>
      </c>
      <c r="M18" s="19" t="n">
        <v>9</v>
      </c>
      <c r="N18" s="19" t="n">
        <v>3</v>
      </c>
      <c r="O18" s="19" t="n">
        <v>6</v>
      </c>
      <c r="P18" s="19" t="n">
        <v>4</v>
      </c>
      <c r="Q18" s="19" t="n">
        <v>6</v>
      </c>
      <c r="R18" s="19" t="n">
        <v>9</v>
      </c>
    </row>
    <row r="19" ht="16" customHeight="1">
      <c r="A19" s="11" t="inlineStr">
        <is>
          <t>2. Household characteristics</t>
        </is>
      </c>
      <c r="B19" s="10" t="inlineStr">
        <is>
          <t>How many adults live in the family?</t>
        </is>
      </c>
      <c r="C19" s="11" t="inlineStr">
        <is>
          <t>Adults in Household</t>
        </is>
      </c>
      <c r="D19" s="19" t="n">
        <v>4</v>
      </c>
      <c r="E19" s="19" t="n">
        <v>2</v>
      </c>
      <c r="F19" s="19" t="n">
        <v>1</v>
      </c>
      <c r="G19" s="19" t="n">
        <v>2</v>
      </c>
      <c r="H19" s="19" t="n">
        <v>1</v>
      </c>
      <c r="I19" s="19" t="n">
        <v>2</v>
      </c>
      <c r="J19" s="19" t="n">
        <v>3</v>
      </c>
      <c r="K19" s="19" t="n">
        <v>2</v>
      </c>
      <c r="L19" s="19" t="n">
        <v>2</v>
      </c>
      <c r="M19" s="19" t="n">
        <v>2</v>
      </c>
      <c r="N19" s="19" t="n">
        <v>2</v>
      </c>
      <c r="O19" s="19" t="n">
        <v>2</v>
      </c>
      <c r="P19" s="19" t="n">
        <v>1</v>
      </c>
      <c r="Q19" s="19" t="n">
        <v>2</v>
      </c>
      <c r="R19" s="19" t="n">
        <v>1</v>
      </c>
    </row>
    <row r="20" ht="32" customHeight="1">
      <c r="A20" s="11" t="inlineStr">
        <is>
          <t>2. Household characteristics</t>
        </is>
      </c>
      <c r="B20" s="10" t="inlineStr">
        <is>
          <t>Number of full-time workers in the family</t>
        </is>
      </c>
      <c r="C20" s="11" t="inlineStr">
        <is>
          <t>Identified as full-time working adults</t>
        </is>
      </c>
      <c r="D20" s="19" t="n">
        <v>4</v>
      </c>
      <c r="E20" s="19" t="n">
        <v>2</v>
      </c>
      <c r="F20" s="19" t="n">
        <v>1</v>
      </c>
      <c r="G20" s="19" t="n">
        <v>2</v>
      </c>
      <c r="H20" s="19" t="n">
        <v>1</v>
      </c>
      <c r="I20" s="19" t="n">
        <v>2</v>
      </c>
      <c r="J20" s="19" t="n">
        <v>3</v>
      </c>
      <c r="K20" s="19" t="n">
        <v>1</v>
      </c>
      <c r="L20" s="19" t="n">
        <v>2</v>
      </c>
      <c r="M20" s="19" t="n">
        <v>2</v>
      </c>
      <c r="N20" s="19" t="n">
        <v>2</v>
      </c>
      <c r="O20" s="19" t="n">
        <v>2</v>
      </c>
      <c r="P20" s="19" t="n">
        <v>1</v>
      </c>
      <c r="Q20" s="19" t="n">
        <v>2</v>
      </c>
      <c r="R20" s="19" t="n">
        <v>1</v>
      </c>
    </row>
    <row r="21" ht="32" customHeight="1">
      <c r="A21" s="11" t="inlineStr">
        <is>
          <t>2. Household characteristics</t>
        </is>
      </c>
      <c r="B21" s="10" t="inlineStr">
        <is>
          <t>Number of part-time workers in the family</t>
        </is>
      </c>
      <c r="C21" s="11" t="inlineStr">
        <is>
          <t>Identified as part-time working adults</t>
        </is>
      </c>
      <c r="D21" s="19" t="n">
        <v>0</v>
      </c>
      <c r="E21" s="19" t="n">
        <v>0</v>
      </c>
      <c r="F21" s="19" t="n">
        <v>0</v>
      </c>
      <c r="G21" s="19" t="n">
        <v>0</v>
      </c>
      <c r="H21" s="19" t="n">
        <v>0</v>
      </c>
      <c r="I21" s="19" t="n">
        <v>0</v>
      </c>
      <c r="J21" s="19" t="n">
        <v>0</v>
      </c>
      <c r="K21" s="19" t="n">
        <v>1</v>
      </c>
      <c r="L21" s="19" t="n">
        <v>0</v>
      </c>
      <c r="M21" s="19" t="n">
        <v>0</v>
      </c>
      <c r="N21" s="19" t="n">
        <v>0</v>
      </c>
      <c r="O21" s="19" t="n">
        <v>0</v>
      </c>
      <c r="P21" s="19" t="n">
        <v>0</v>
      </c>
      <c r="Q21" s="19" t="n">
        <v>0</v>
      </c>
      <c r="R21" s="19" t="n">
        <v>0</v>
      </c>
    </row>
    <row r="22" ht="32.25" customHeight="1">
      <c r="A22" s="11" t="inlineStr">
        <is>
          <t>2. Household characteristics</t>
        </is>
      </c>
      <c r="B22" s="10" t="inlineStr">
        <is>
          <t>Number of children</t>
        </is>
      </c>
      <c r="C22" s="11" t="inlineStr">
        <is>
          <t>Number of children</t>
        </is>
      </c>
      <c r="D22" s="19" t="n">
        <v>4</v>
      </c>
      <c r="E22" s="19" t="n">
        <v>4</v>
      </c>
      <c r="F22" s="19" t="n">
        <v>8</v>
      </c>
      <c r="G22" s="19" t="n">
        <v>2</v>
      </c>
      <c r="H22" s="19" t="n">
        <v>4</v>
      </c>
      <c r="I22" s="19" t="n">
        <v>4</v>
      </c>
      <c r="J22" s="19" t="n">
        <v>3</v>
      </c>
      <c r="K22" s="19" t="n">
        <v>0</v>
      </c>
      <c r="L22" s="19" t="n">
        <v>6</v>
      </c>
      <c r="M22" s="19" t="n">
        <v>7</v>
      </c>
      <c r="N22" s="19" t="n">
        <v>1</v>
      </c>
      <c r="O22" s="19" t="n">
        <v>4</v>
      </c>
      <c r="P22" s="19" t="n">
        <v>3</v>
      </c>
      <c r="Q22" s="19" t="n">
        <v>4</v>
      </c>
      <c r="R22" s="19" t="n">
        <v>8</v>
      </c>
    </row>
    <row r="23" ht="32" customHeight="1">
      <c r="A23" s="11" t="inlineStr">
        <is>
          <t>3. House structure</t>
        </is>
      </c>
      <c r="B23" s="330" t="inlineStr">
        <is>
          <t>Total number of rooms (only living rooms and bedrooms)</t>
        </is>
      </c>
      <c r="C23" s="11" t="inlineStr">
        <is>
          <t>Number of rooms</t>
        </is>
      </c>
      <c r="D23" s="19" t="n">
        <v>6</v>
      </c>
      <c r="E23" s="19" t="n">
        <v>6</v>
      </c>
      <c r="F23" s="19" t="n">
        <v>3</v>
      </c>
      <c r="G23" s="19" t="n">
        <v>4</v>
      </c>
      <c r="H23" s="19" t="n">
        <v>3</v>
      </c>
      <c r="I23" s="19" t="n">
        <v>6</v>
      </c>
      <c r="J23" s="19" t="n">
        <v>4</v>
      </c>
      <c r="K23" s="19" t="n">
        <v>4</v>
      </c>
      <c r="L23" s="19" t="n">
        <v>5</v>
      </c>
      <c r="M23" s="19" t="n">
        <v>2</v>
      </c>
      <c r="N23" s="19" t="n">
        <v>6</v>
      </c>
      <c r="O23" s="19" t="n">
        <v>4</v>
      </c>
      <c r="P23" s="19" t="n">
        <v>4</v>
      </c>
      <c r="Q23" s="19" t="n">
        <v>4</v>
      </c>
      <c r="R23" s="19" t="n">
        <v>4</v>
      </c>
    </row>
    <row r="24" ht="26.5" customHeight="1">
      <c r="A24" s="11" t="inlineStr">
        <is>
          <t>3. House structure</t>
        </is>
      </c>
      <c r="B24" s="10" t="inlineStr">
        <is>
          <t>Total surface</t>
        </is>
      </c>
      <c r="C24" s="11" t="inlineStr">
        <is>
          <t>Total space (sq mt)</t>
        </is>
      </c>
      <c r="D24" s="19" t="n">
        <v>81</v>
      </c>
      <c r="E24" s="19" t="n">
        <v>90</v>
      </c>
      <c r="F24" s="19" t="n">
        <v>36</v>
      </c>
      <c r="G24" s="19" t="n">
        <v>40</v>
      </c>
      <c r="H24" s="19" t="n">
        <v>27</v>
      </c>
      <c r="I24" s="19" t="n">
        <v>81</v>
      </c>
      <c r="J24" s="19" t="n">
        <v>40</v>
      </c>
      <c r="K24" s="19" t="n">
        <v>200</v>
      </c>
      <c r="L24" s="19" t="n">
        <v>60</v>
      </c>
      <c r="M24" s="19" t="n">
        <v>24</v>
      </c>
      <c r="N24" s="19" t="n">
        <v>81</v>
      </c>
      <c r="O24" s="19" t="n">
        <v>40</v>
      </c>
      <c r="P24" s="19" t="n">
        <v>36</v>
      </c>
      <c r="Q24" s="19" t="n">
        <v>54</v>
      </c>
      <c r="R24" s="19" t="n">
        <v>40</v>
      </c>
    </row>
    <row r="25">
      <c r="A25" s="318" t="n"/>
      <c r="B25" s="319" t="n"/>
      <c r="C25" s="319" t="n"/>
      <c r="D25" s="373" t="n"/>
      <c r="E25" s="373" t="n"/>
      <c r="F25" s="373" t="n"/>
      <c r="G25" s="373" t="n"/>
      <c r="H25" s="373" t="n"/>
      <c r="I25" s="373" t="n"/>
      <c r="J25" s="373" t="n"/>
      <c r="K25" s="373" t="n"/>
      <c r="L25" s="373" t="n"/>
      <c r="M25" s="373" t="n"/>
      <c r="N25" s="373" t="n"/>
      <c r="O25" s="373" t="n"/>
      <c r="P25" s="373" t="n"/>
      <c r="Q25" s="373" t="n"/>
      <c r="R25" s="373" t="n"/>
    </row>
    <row r="26" ht="16" customHeight="1">
      <c r="A26" s="11" t="inlineStr">
        <is>
          <t>9. Housing costs</t>
        </is>
      </c>
      <c r="B26" s="11" t="inlineStr">
        <is>
          <t>How much do you pay for rent?</t>
        </is>
      </c>
      <c r="C26" s="12" t="inlineStr">
        <is>
          <t>Rent (LCU / month)</t>
        </is>
      </c>
      <c r="D26" s="481" t="n">
        <v>200000</v>
      </c>
      <c r="E26" s="481" t="n">
        <v>250000</v>
      </c>
      <c r="F26" s="481" t="n">
        <v>60000</v>
      </c>
      <c r="G26" s="481" t="n">
        <v>150000</v>
      </c>
      <c r="H26" s="481" t="n">
        <v>50000</v>
      </c>
      <c r="I26" s="481" t="n">
        <v>150000</v>
      </c>
      <c r="J26" s="481" t="n">
        <v>80000</v>
      </c>
      <c r="K26" s="481" t="n">
        <v>70000</v>
      </c>
      <c r="L26" s="481" t="n">
        <v>150000</v>
      </c>
      <c r="M26" s="481" t="n">
        <v>40000</v>
      </c>
      <c r="N26" s="481" t="n">
        <v>250000</v>
      </c>
      <c r="O26" s="481" t="n">
        <v>100000</v>
      </c>
      <c r="P26" s="481" t="n">
        <v>60000</v>
      </c>
      <c r="Q26" s="481" t="n">
        <v>150000</v>
      </c>
      <c r="R26" s="481" t="n">
        <v>200000</v>
      </c>
    </row>
    <row r="27" ht="16" customHeight="1">
      <c r="A27" s="11" t="inlineStr">
        <is>
          <t>6. Access to water</t>
        </is>
      </c>
      <c r="B27" s="11" t="inlineStr">
        <is>
          <t>How much do you pay for water?</t>
        </is>
      </c>
      <c r="C27" s="12" t="inlineStr">
        <is>
          <t>Water (LCU / month)</t>
        </is>
      </c>
      <c r="D27" s="481" t="n">
        <v>10020</v>
      </c>
      <c r="E27" s="481" t="n">
        <v>3000</v>
      </c>
      <c r="F27" s="481" t="n">
        <v>3000</v>
      </c>
      <c r="G27" s="481" t="n">
        <v>0</v>
      </c>
      <c r="H27" s="481" t="n">
        <v>5010</v>
      </c>
      <c r="I27" s="481" t="n">
        <v>3000</v>
      </c>
      <c r="J27" s="481" t="n">
        <v>0</v>
      </c>
      <c r="K27" s="481" t="n">
        <v>10500</v>
      </c>
      <c r="L27" s="481" t="n">
        <v>5010</v>
      </c>
      <c r="M27" s="481" t="n">
        <v>2010</v>
      </c>
      <c r="N27" s="481" t="n">
        <v>5010</v>
      </c>
      <c r="O27" s="481" t="n">
        <v>5010</v>
      </c>
      <c r="P27" s="481" t="n">
        <v>5010</v>
      </c>
      <c r="Q27" s="481" t="n">
        <v>2010</v>
      </c>
      <c r="R27" s="481" t="n">
        <v>5010</v>
      </c>
    </row>
    <row r="28" ht="32" customHeight="1">
      <c r="A28" s="11" t="inlineStr">
        <is>
          <t>8. Energy sources</t>
        </is>
      </c>
      <c r="B28" s="11" t="inlineStr">
        <is>
          <t>How much do you pay for electricity (either grid or fuels or both)</t>
        </is>
      </c>
      <c r="C28" s="12" t="inlineStr">
        <is>
          <t>Electricity (LCU / month)</t>
        </is>
      </c>
      <c r="D28" s="481" t="n">
        <v>20000</v>
      </c>
      <c r="E28" s="481" t="n">
        <v>20000</v>
      </c>
      <c r="F28" s="481" t="n">
        <v>0</v>
      </c>
      <c r="G28" s="481" t="n">
        <v>0</v>
      </c>
      <c r="H28" s="481" t="n">
        <v>0</v>
      </c>
      <c r="I28" s="481" t="n">
        <v>10000</v>
      </c>
      <c r="J28" s="481" t="n">
        <v>0</v>
      </c>
      <c r="K28" s="481" t="n">
        <v>13000</v>
      </c>
      <c r="L28" s="481" t="n">
        <v>0</v>
      </c>
      <c r="M28" s="481" t="n">
        <v>0</v>
      </c>
      <c r="N28" s="481" t="n">
        <v>0</v>
      </c>
      <c r="O28" s="481" t="n">
        <v>0</v>
      </c>
      <c r="P28" s="481" t="n">
        <v>0</v>
      </c>
      <c r="Q28" s="481" t="n">
        <v>0</v>
      </c>
      <c r="R28" s="481" t="n">
        <v>0</v>
      </c>
    </row>
    <row r="29" ht="32" customHeight="1">
      <c r="A29" s="11" t="inlineStr">
        <is>
          <t>7. Adequate coocking facility</t>
        </is>
      </c>
      <c r="B29" s="11" t="inlineStr">
        <is>
          <t>How much do you pay for cooking fuel?</t>
        </is>
      </c>
      <c r="C29" s="12" t="inlineStr">
        <is>
          <t>Cooking fuel (LCU / month)</t>
        </is>
      </c>
      <c r="D29" s="481" t="n">
        <v>120000</v>
      </c>
      <c r="E29" s="481" t="n">
        <v>180000</v>
      </c>
      <c r="F29" s="481" t="n">
        <v>60000</v>
      </c>
      <c r="G29" s="481" t="n">
        <v>60000</v>
      </c>
      <c r="H29" s="481" t="n">
        <v>65000</v>
      </c>
      <c r="I29" s="481" t="n">
        <v>60000</v>
      </c>
      <c r="J29" s="481" t="n">
        <v>60000</v>
      </c>
      <c r="K29" s="481" t="n">
        <v>120000</v>
      </c>
      <c r="L29" s="481" t="n">
        <v>65000</v>
      </c>
      <c r="M29" s="481" t="n">
        <v>60000</v>
      </c>
      <c r="N29" s="481" t="n">
        <v>45000</v>
      </c>
      <c r="O29" s="481" t="n">
        <v>80000</v>
      </c>
      <c r="P29" s="481" t="n">
        <v>80000</v>
      </c>
      <c r="Q29" s="481" t="n">
        <v>60000</v>
      </c>
      <c r="R29" s="481" t="n">
        <v>60000</v>
      </c>
    </row>
    <row r="30">
      <c r="A30" s="13" t="n"/>
      <c r="B30" s="14" t="n"/>
      <c r="C30" s="14" t="n"/>
      <c r="D30" s="14" t="n"/>
      <c r="E30" s="14" t="n"/>
      <c r="F30" s="14" t="n"/>
      <c r="G30" s="14" t="n"/>
      <c r="H30" s="14" t="n"/>
      <c r="I30" s="14" t="n"/>
      <c r="J30" s="14" t="n"/>
      <c r="K30" s="14" t="n"/>
      <c r="L30" s="14" t="n"/>
      <c r="M30" s="14" t="n"/>
      <c r="N30" s="14" t="n"/>
      <c r="O30" s="370" t="n"/>
      <c r="P30" s="14" t="n"/>
      <c r="Q30" s="14" t="n"/>
      <c r="R30" s="15" t="n"/>
    </row>
    <row r="31" ht="32" customHeight="1">
      <c r="A31" s="10" t="inlineStr">
        <is>
          <t>11. Non-food, Non-housing costs</t>
        </is>
      </c>
      <c r="B31" s="11" t="inlineStr">
        <is>
          <t>How much do you pay for healthcare?</t>
        </is>
      </c>
      <c r="C31" s="12" t="inlineStr">
        <is>
          <t>Healthcare (LCU / month)</t>
        </is>
      </c>
      <c r="D31" s="481" t="n">
        <v>16666.67</v>
      </c>
      <c r="E31" s="481" t="n">
        <v>23333.33</v>
      </c>
      <c r="F31" s="481" t="n">
        <v>5000</v>
      </c>
      <c r="G31" s="481" t="n">
        <v>23333.33</v>
      </c>
      <c r="H31" s="481" t="n">
        <v>16666.67</v>
      </c>
      <c r="I31" s="481" t="n">
        <v>0</v>
      </c>
      <c r="J31" s="481" t="n">
        <v>6666.67</v>
      </c>
      <c r="K31" s="481" t="n">
        <v>5000</v>
      </c>
      <c r="L31" s="481" t="n">
        <v>6666.67</v>
      </c>
      <c r="M31" s="481" t="n">
        <v>16666.67</v>
      </c>
      <c r="N31" s="481" t="n">
        <v>6666.67</v>
      </c>
      <c r="O31" s="481" t="n">
        <v>16666.67</v>
      </c>
      <c r="P31" s="481" t="n">
        <v>6666.67</v>
      </c>
      <c r="Q31" s="481" t="n">
        <v>33333.33</v>
      </c>
      <c r="R31" s="481" t="n">
        <v>13333.33</v>
      </c>
      <c r="S31" s="359" t="n"/>
    </row>
    <row r="32" ht="32" customHeight="1">
      <c r="A32" s="10" t="inlineStr">
        <is>
          <t>11. Non-food, Non-housing costs</t>
        </is>
      </c>
      <c r="B32" s="11" t="inlineStr">
        <is>
          <t>How much do you pay for education?</t>
        </is>
      </c>
      <c r="C32" s="12" t="inlineStr">
        <is>
          <t>Education (LCU / month)</t>
        </is>
      </c>
      <c r="D32" s="481" t="n">
        <v>463750</v>
      </c>
      <c r="E32" s="481" t="n">
        <v>172500</v>
      </c>
      <c r="F32" s="481" t="n">
        <v>410000</v>
      </c>
      <c r="G32" s="481" t="n">
        <v>350000</v>
      </c>
      <c r="H32" s="481" t="n">
        <v>82500</v>
      </c>
      <c r="I32" s="481" t="n">
        <v>70000</v>
      </c>
      <c r="J32" s="481" t="n">
        <v>133000</v>
      </c>
      <c r="K32" s="481" t="n">
        <v>100000</v>
      </c>
      <c r="L32" s="481" t="n">
        <v>470000</v>
      </c>
      <c r="M32" s="481" t="n">
        <v>52500</v>
      </c>
      <c r="N32" s="481" t="n">
        <v>42500</v>
      </c>
      <c r="O32" s="481" t="n">
        <v>332500</v>
      </c>
      <c r="P32" s="481" t="n">
        <v>52500</v>
      </c>
      <c r="Q32" s="481" t="n">
        <v>441666.67</v>
      </c>
      <c r="R32" s="481" t="n">
        <v>350000</v>
      </c>
      <c r="S32" s="369" t="n"/>
    </row>
    <row r="33" ht="32" customHeight="1">
      <c r="A33" s="10" t="inlineStr">
        <is>
          <t>11. Non-food, Non-housing costs</t>
        </is>
      </c>
      <c r="B33" s="11" t="inlineStr">
        <is>
          <t>How much do you pay for transporation?</t>
        </is>
      </c>
      <c r="C33" s="12" t="inlineStr">
        <is>
          <t>Transport (LCU / month)</t>
        </is>
      </c>
      <c r="D33" s="481" t="n">
        <v>301000</v>
      </c>
      <c r="E33" s="481" t="n">
        <v>36000</v>
      </c>
      <c r="F33" s="481" t="n">
        <v>15000</v>
      </c>
      <c r="G33" s="481" t="n">
        <v>310000</v>
      </c>
      <c r="H33" s="481" t="n">
        <v>40000</v>
      </c>
      <c r="I33" s="481" t="n">
        <v>20000</v>
      </c>
      <c r="J33" s="481" t="n">
        <v>6000</v>
      </c>
      <c r="K33" s="481" t="n">
        <v>102857.14</v>
      </c>
      <c r="L33" s="481" t="n">
        <v>48000</v>
      </c>
      <c r="M33" s="481" t="n">
        <v>13000</v>
      </c>
      <c r="N33" s="481" t="n">
        <v>300000</v>
      </c>
      <c r="O33" s="481" t="n">
        <v>4000</v>
      </c>
      <c r="P33" s="481" t="n">
        <v>14000</v>
      </c>
      <c r="Q33" s="481" t="n">
        <v>13000</v>
      </c>
      <c r="R33" s="481" t="n">
        <v>24000</v>
      </c>
    </row>
    <row r="36">
      <c r="A36" s="372" t="n"/>
      <c r="K36" s="482" t="n"/>
    </row>
    <row r="37">
      <c r="A37" s="372" t="n"/>
    </row>
  </sheetData>
  <mergeCells count="2">
    <mergeCell ref="D14:R14"/>
    <mergeCell ref="A9:R12"/>
  </mergeCells>
  <pageMargins left="0.7" right="0.7" top="0.75" bottom="0.75" header="0.3" footer="0.3"/>
  <pageSetup orientation="portrait"/>
  <drawing xmlns:r="http://schemas.openxmlformats.org/officeDocument/2006/relationships" r:id="rId1"/>
</worksheet>
</file>

<file path=xl/worksheets/sheet8.xml><?xml version="1.0" encoding="utf-8"?>
<worksheet xmlns="http://schemas.openxmlformats.org/spreadsheetml/2006/main">
  <sheetPr>
    <tabColor theme="7" tint="0.5999938962981048"/>
    <outlinePr summaryBelow="1" summaryRight="1"/>
    <pageSetUpPr/>
  </sheetPr>
  <dimension ref="A3:AI94"/>
  <sheetViews>
    <sheetView showGridLines="0" tabSelected="1" topLeftCell="B27" zoomScale="82" zoomScaleNormal="70" workbookViewId="0">
      <selection activeCell="D42" sqref="D42:D48"/>
    </sheetView>
  </sheetViews>
  <sheetFormatPr baseColWidth="10" defaultColWidth="8.83203125" defaultRowHeight="15"/>
  <cols>
    <col width="1.1640625" customWidth="1" style="22" min="1" max="1"/>
    <col width="27.5" customWidth="1" style="22" min="2" max="2"/>
    <col width="36.1640625" customWidth="1" style="22" min="3" max="3"/>
    <col width="11.1640625" customWidth="1" style="22" min="4" max="26"/>
    <col width="15.5" customWidth="1" style="22" min="27" max="27"/>
    <col width="11.1640625" customWidth="1" style="22" min="28" max="28"/>
    <col width="23.5" customWidth="1" style="22" min="29" max="29"/>
    <col width="10.1640625" customWidth="1" style="22" min="30" max="30"/>
    <col width="21.1640625" customWidth="1" style="203" min="31" max="31"/>
    <col width="8.83203125" customWidth="1" style="22" min="32" max="32"/>
    <col width="8.83203125" customWidth="1" style="22" min="33" max="33"/>
    <col width="13.5" customWidth="1" style="22" min="34" max="34"/>
    <col width="8.83203125" customWidth="1" style="22" min="35" max="16384"/>
  </cols>
  <sheetData>
    <row r="3" ht="63" customHeight="1" thickBot="1">
      <c r="C3" s="202" t="inlineStr">
        <is>
          <t>Estimating food costs</t>
        </is>
      </c>
    </row>
    <row r="4">
      <c r="C4" s="60" t="n"/>
      <c r="AB4" s="204" t="n"/>
      <c r="AC4" s="176" t="n"/>
    </row>
    <row r="5">
      <c r="B5" s="23" t="inlineStr">
        <is>
          <t>Guidance</t>
        </is>
      </c>
      <c r="D5" s="184" t="n"/>
      <c r="K5" s="75" t="n"/>
      <c r="L5" s="75" t="n"/>
      <c r="M5" s="75" t="n"/>
      <c r="N5" s="75" t="n"/>
      <c r="O5" s="75" t="n"/>
      <c r="P5" s="75" t="n"/>
      <c r="Q5" s="75" t="n"/>
      <c r="R5" s="75" t="n"/>
      <c r="S5" s="75" t="n"/>
      <c r="T5" s="75" t="n"/>
      <c r="AB5" s="483" t="inlineStr">
        <is>
          <t>IF MORE THAN 25 PRICES ARE COLLECTED FOR A FOOD ITEM, INSERT A NEW COLUMN BEFORE COLUMN AB AND MAKE SURE THAT THE FORMULA FOR THE LOWEST PRICE IS STILL IN RANGE</t>
        </is>
      </c>
      <c r="AC5" s="140" t="n"/>
    </row>
    <row r="6" ht="179.25" customHeight="1" thickBot="1">
      <c r="B6" s="434" t="inlineStr">
        <is>
          <t>In this tab, you need to insert the list of food items included in the study and the data collected from the Food Price Survey. The data will be used by the tool to estimate the cost for decent housing. Make sure that all the data you insert are provided in LCU/kg
Actions required:
1) Insert the food items included in the study in Column C.
2) Insert the food prices collected during the survey
IMPORTANT: Do not edit column B or add any additional row</t>
        </is>
      </c>
      <c r="C6" s="22" t="n"/>
      <c r="AB6" s="142" t="n"/>
      <c r="AC6" s="145" t="n"/>
    </row>
    <row r="9">
      <c r="AE9" s="435" t="inlineStr">
        <is>
          <t>From data collected via surveys</t>
        </is>
      </c>
      <c r="AF9" s="22" t="n"/>
      <c r="AG9" s="22" t="n"/>
      <c r="AH9" s="436" t="n"/>
      <c r="AI9" s="22" t="n"/>
    </row>
    <row r="10" ht="16" customFormat="1" customHeight="1" s="206">
      <c r="B10" s="37" t="inlineStr">
        <is>
          <t>Category</t>
        </is>
      </c>
      <c r="C10" s="37" t="inlineStr">
        <is>
          <t>Item</t>
        </is>
      </c>
      <c r="D10" s="205" t="inlineStr">
        <is>
          <t>Price 1</t>
        </is>
      </c>
      <c r="E10" s="205" t="inlineStr">
        <is>
          <t>Price 2</t>
        </is>
      </c>
      <c r="F10" s="205" t="inlineStr">
        <is>
          <t>Price 3</t>
        </is>
      </c>
      <c r="G10" s="205" t="inlineStr">
        <is>
          <t>Price 4</t>
        </is>
      </c>
      <c r="H10" s="205" t="inlineStr">
        <is>
          <t>Price 5</t>
        </is>
      </c>
      <c r="I10" s="205" t="inlineStr">
        <is>
          <t>Price 6</t>
        </is>
      </c>
      <c r="J10" s="205" t="inlineStr">
        <is>
          <t>Price 7</t>
        </is>
      </c>
      <c r="K10" s="205" t="inlineStr">
        <is>
          <t>Price 8</t>
        </is>
      </c>
      <c r="L10" s="205" t="inlineStr">
        <is>
          <t>Price 9</t>
        </is>
      </c>
      <c r="M10" s="205" t="inlineStr">
        <is>
          <t>Price 10</t>
        </is>
      </c>
      <c r="N10" s="205" t="inlineStr">
        <is>
          <t>Price 11</t>
        </is>
      </c>
      <c r="O10" s="205" t="inlineStr">
        <is>
          <t>Price 12</t>
        </is>
      </c>
      <c r="P10" s="205" t="inlineStr">
        <is>
          <t>Price 13</t>
        </is>
      </c>
      <c r="Q10" s="205" t="inlineStr">
        <is>
          <t>Price 14</t>
        </is>
      </c>
      <c r="R10" s="205" t="inlineStr">
        <is>
          <t>Price 15</t>
        </is>
      </c>
      <c r="S10" s="205" t="inlineStr">
        <is>
          <t>Price 16</t>
        </is>
      </c>
      <c r="T10" s="205" t="inlineStr">
        <is>
          <t>Price 17</t>
        </is>
      </c>
      <c r="U10" s="205" t="inlineStr">
        <is>
          <t>Price 18</t>
        </is>
      </c>
      <c r="V10" s="205" t="inlineStr">
        <is>
          <t>Price 19</t>
        </is>
      </c>
      <c r="W10" s="205" t="inlineStr">
        <is>
          <t>Price 20</t>
        </is>
      </c>
      <c r="X10" s="205" t="inlineStr">
        <is>
          <t>Price 21</t>
        </is>
      </c>
      <c r="Y10" s="205" t="inlineStr">
        <is>
          <t>Price 22</t>
        </is>
      </c>
      <c r="Z10" s="205" t="inlineStr">
        <is>
          <t>Price 23</t>
        </is>
      </c>
      <c r="AA10" s="205" t="inlineStr">
        <is>
          <t>Price 24</t>
        </is>
      </c>
      <c r="AB10" s="205" t="inlineStr">
        <is>
          <t>Price 25</t>
        </is>
      </c>
      <c r="AC10" s="205" t="n"/>
      <c r="AD10" s="37" t="n"/>
      <c r="AE10" s="207" t="inlineStr">
        <is>
          <t>Lowest price</t>
        </is>
      </c>
      <c r="AF10" s="206" t="inlineStr">
        <is>
          <t>Average</t>
        </is>
      </c>
      <c r="AG10" s="206" t="inlineStr">
        <is>
          <t>Median</t>
        </is>
      </c>
      <c r="AH10" s="206" t="inlineStr">
        <is>
          <t>Minimum</t>
        </is>
      </c>
      <c r="AI10" s="366" t="inlineStr">
        <is>
          <t>Average</t>
        </is>
      </c>
    </row>
    <row r="11">
      <c r="A11" s="315" t="n"/>
      <c r="B11" s="316" t="inlineStr">
        <is>
          <t>Cereals and Grains</t>
        </is>
      </c>
      <c r="C11" s="320" t="inlineStr">
        <is>
          <t>Rice 1</t>
        </is>
      </c>
      <c r="D11" s="209" t="n">
        <v>3400</v>
      </c>
      <c r="E11" s="209" t="n">
        <v>3500</v>
      </c>
      <c r="F11" s="209" t="n">
        <v>3500</v>
      </c>
      <c r="G11" s="209" t="n">
        <v>3500</v>
      </c>
      <c r="H11" s="209" t="n">
        <v>3500</v>
      </c>
      <c r="I11" s="209" t="n">
        <v>3700</v>
      </c>
      <c r="J11" s="209" t="n">
        <v>4000</v>
      </c>
      <c r="K11" s="209" t="n">
        <v>4000</v>
      </c>
      <c r="L11" s="209" t="n">
        <v>4000</v>
      </c>
      <c r="M11" s="209" t="n">
        <v>4400</v>
      </c>
      <c r="N11" s="209" t="n">
        <v>4500</v>
      </c>
      <c r="O11" s="209" t="n">
        <v>5000</v>
      </c>
      <c r="P11" s="209" t="n"/>
      <c r="Q11" s="209" t="n"/>
      <c r="R11" s="209" t="n"/>
      <c r="S11" s="209" t="n"/>
      <c r="T11" s="209" t="n"/>
      <c r="U11" s="209" t="n"/>
      <c r="V11" s="209" t="n"/>
      <c r="W11" s="209" t="n"/>
      <c r="X11" s="209" t="n"/>
      <c r="Y11" s="209" t="n"/>
      <c r="Z11" s="209" t="n"/>
      <c r="AA11" s="209" t="n"/>
      <c r="AB11" s="209" t="n"/>
      <c r="AC11" s="71" t="n"/>
      <c r="AD11" s="71" t="n"/>
      <c r="AE11" s="210">
        <f>MIN(D11:AB11)</f>
        <v/>
      </c>
      <c r="AF11" s="428" t="inlineStr">
        <is>
          <t>Check these for comparison</t>
        </is>
      </c>
      <c r="AG11" s="22" t="n"/>
      <c r="AH11" s="22" t="n"/>
      <c r="AI11" s="22" t="n"/>
    </row>
    <row r="12">
      <c r="A12" s="315" t="n"/>
      <c r="B12" s="316" t="inlineStr">
        <is>
          <t>Cereals and Grains</t>
        </is>
      </c>
      <c r="C12" s="320" t="inlineStr">
        <is>
          <t>Rice 2</t>
        </is>
      </c>
      <c r="D12" s="209" t="n">
        <v>3400</v>
      </c>
      <c r="E12" s="209" t="n">
        <v>3500</v>
      </c>
      <c r="F12" s="209" t="n">
        <v>3500</v>
      </c>
      <c r="G12" s="209" t="n">
        <v>3500</v>
      </c>
      <c r="H12" s="209" t="n">
        <v>3500</v>
      </c>
      <c r="I12" s="209" t="n">
        <v>3700</v>
      </c>
      <c r="J12" s="209" t="n">
        <v>4000</v>
      </c>
      <c r="K12" s="209" t="n">
        <v>4000</v>
      </c>
      <c r="L12" s="209" t="n">
        <v>4000</v>
      </c>
      <c r="M12" s="209" t="n">
        <v>4400</v>
      </c>
      <c r="N12" s="209" t="n">
        <v>4500</v>
      </c>
      <c r="O12" s="209" t="n">
        <v>5000</v>
      </c>
      <c r="P12" s="209" t="n"/>
      <c r="Q12" s="209" t="n"/>
      <c r="R12" s="209" t="n"/>
      <c r="S12" s="209" t="n"/>
      <c r="T12" s="209" t="n"/>
      <c r="U12" s="209" t="n"/>
      <c r="V12" s="209" t="n"/>
      <c r="W12" s="209" t="n"/>
      <c r="X12" s="209" t="n"/>
      <c r="Y12" s="209" t="n"/>
      <c r="Z12" s="209" t="n"/>
      <c r="AA12" s="209" t="n"/>
      <c r="AB12" s="209" t="n"/>
      <c r="AC12" s="71" t="n"/>
      <c r="AD12" s="71" t="n"/>
      <c r="AE12" s="210">
        <f>MIN(D12:AB12)</f>
        <v/>
      </c>
    </row>
    <row r="13">
      <c r="A13" s="315" t="n"/>
      <c r="B13" s="316" t="inlineStr">
        <is>
          <t>Cereals and Grains</t>
        </is>
      </c>
      <c r="C13" s="320" t="inlineStr">
        <is>
          <t>Rice 3</t>
        </is>
      </c>
      <c r="D13" s="209" t="n">
        <v>3400</v>
      </c>
      <c r="E13" s="209" t="n">
        <v>3500</v>
      </c>
      <c r="F13" s="209" t="n">
        <v>3500</v>
      </c>
      <c r="G13" s="209" t="n">
        <v>3500</v>
      </c>
      <c r="H13" s="209" t="n">
        <v>3500</v>
      </c>
      <c r="I13" s="209" t="n">
        <v>3700</v>
      </c>
      <c r="J13" s="209" t="n">
        <v>4000</v>
      </c>
      <c r="K13" s="209" t="n">
        <v>4000</v>
      </c>
      <c r="L13" s="209" t="n">
        <v>4000</v>
      </c>
      <c r="M13" s="209" t="n">
        <v>4400</v>
      </c>
      <c r="N13" s="209" t="n">
        <v>4500</v>
      </c>
      <c r="O13" s="209" t="n">
        <v>5000</v>
      </c>
      <c r="P13" s="209" t="n"/>
      <c r="Q13" s="209" t="n"/>
      <c r="R13" s="209" t="n"/>
      <c r="S13" s="209" t="n"/>
      <c r="T13" s="209" t="n"/>
      <c r="U13" s="209" t="n"/>
      <c r="V13" s="209" t="n"/>
      <c r="W13" s="209" t="n"/>
      <c r="X13" s="209" t="n"/>
      <c r="Y13" s="209" t="n"/>
      <c r="Z13" s="209" t="n"/>
      <c r="AA13" s="209" t="n"/>
      <c r="AB13" s="209" t="n"/>
      <c r="AC13" s="71" t="n"/>
      <c r="AD13" s="71" t="n"/>
      <c r="AE13" s="210">
        <f>MIN(D13:AB13)</f>
        <v/>
      </c>
    </row>
    <row r="14">
      <c r="A14" s="315" t="n"/>
      <c r="B14" s="316" t="inlineStr">
        <is>
          <t>Cereals and Grains</t>
        </is>
      </c>
      <c r="C14" s="320" t="inlineStr">
        <is>
          <t>Rice 4</t>
        </is>
      </c>
      <c r="D14" s="209" t="n">
        <v>3400</v>
      </c>
      <c r="E14" s="209" t="n">
        <v>3500</v>
      </c>
      <c r="F14" s="209" t="n">
        <v>3500</v>
      </c>
      <c r="G14" s="209" t="n">
        <v>3500</v>
      </c>
      <c r="H14" s="209" t="n">
        <v>3500</v>
      </c>
      <c r="I14" s="209" t="n">
        <v>3700</v>
      </c>
      <c r="J14" s="209" t="n">
        <v>4000</v>
      </c>
      <c r="K14" s="209" t="n">
        <v>4000</v>
      </c>
      <c r="L14" s="209" t="n">
        <v>4000</v>
      </c>
      <c r="M14" s="209" t="n">
        <v>4400</v>
      </c>
      <c r="N14" s="209" t="n">
        <v>4500</v>
      </c>
      <c r="O14" s="209" t="n">
        <v>5000</v>
      </c>
      <c r="P14" s="209" t="n"/>
      <c r="Q14" s="209" t="n"/>
      <c r="R14" s="209" t="n"/>
      <c r="S14" s="209" t="n"/>
      <c r="T14" s="209" t="n"/>
      <c r="U14" s="209" t="n"/>
      <c r="V14" s="209" t="n"/>
      <c r="W14" s="209" t="n"/>
      <c r="X14" s="209" t="n"/>
      <c r="Y14" s="209" t="n"/>
      <c r="Z14" s="209" t="n"/>
      <c r="AA14" s="209" t="n"/>
      <c r="AB14" s="209" t="n"/>
      <c r="AC14" s="71" t="n"/>
      <c r="AD14" s="71" t="n"/>
      <c r="AE14" s="210">
        <f>MIN(D14:AB14)</f>
        <v/>
      </c>
    </row>
    <row r="15">
      <c r="A15" s="315" t="n"/>
      <c r="B15" s="316" t="inlineStr">
        <is>
          <t>Prepared cereals</t>
        </is>
      </c>
      <c r="C15" s="320" t="inlineStr">
        <is>
          <t>Bread</t>
        </is>
      </c>
      <c r="D15" s="209" t="n">
        <v>5500</v>
      </c>
      <c r="E15" s="209" t="n">
        <v>5500</v>
      </c>
      <c r="F15" s="209" t="n">
        <v>5500</v>
      </c>
      <c r="G15" s="209" t="n">
        <v>5500</v>
      </c>
      <c r="H15" s="209" t="n">
        <v>5500</v>
      </c>
      <c r="I15" s="209" t="n">
        <v>5500</v>
      </c>
      <c r="J15" s="209" t="n">
        <v>5500</v>
      </c>
      <c r="K15" s="209" t="n">
        <v>5600</v>
      </c>
      <c r="L15" s="209" t="n">
        <v>6000</v>
      </c>
      <c r="M15" s="209" t="n">
        <v>6000</v>
      </c>
      <c r="N15" s="209" t="n">
        <v>6000</v>
      </c>
      <c r="O15" s="209" t="n">
        <v>6000</v>
      </c>
      <c r="P15" s="209" t="n"/>
      <c r="Q15" s="209" t="n"/>
      <c r="R15" s="209" t="n"/>
      <c r="S15" s="209" t="n"/>
      <c r="T15" s="209" t="n"/>
      <c r="U15" s="209" t="n"/>
      <c r="V15" s="209" t="n"/>
      <c r="W15" s="209" t="n"/>
      <c r="X15" s="209" t="n"/>
      <c r="Y15" s="209" t="n"/>
      <c r="Z15" s="209" t="n"/>
      <c r="AA15" s="209" t="n"/>
      <c r="AB15" s="209" t="n"/>
      <c r="AC15" s="71" t="n"/>
      <c r="AD15" s="71" t="n"/>
      <c r="AE15" s="210">
        <f>MIN(D15:AB15)</f>
        <v/>
      </c>
    </row>
    <row r="16">
      <c r="A16" s="315" t="n"/>
      <c r="B16" s="316" t="inlineStr">
        <is>
          <t>Prepared cereals</t>
        </is>
      </c>
      <c r="C16" s="320" t="inlineStr">
        <is>
          <t>chapati</t>
        </is>
      </c>
      <c r="D16" s="209" t="n">
        <v>5000</v>
      </c>
      <c r="E16" s="209" t="n">
        <v>5000</v>
      </c>
      <c r="F16" s="209" t="n">
        <v>5000</v>
      </c>
      <c r="G16" s="209" t="n"/>
      <c r="H16" s="209" t="n"/>
      <c r="I16" s="209" t="n"/>
      <c r="J16" s="209" t="n"/>
      <c r="K16" s="209" t="n"/>
      <c r="L16" s="209" t="n"/>
      <c r="M16" s="209" t="n"/>
      <c r="N16" s="209" t="n"/>
      <c r="O16" s="209" t="n"/>
      <c r="P16" s="209" t="n"/>
      <c r="Q16" s="209" t="n"/>
      <c r="R16" s="209" t="n"/>
      <c r="S16" s="209" t="n"/>
      <c r="T16" s="209" t="n"/>
      <c r="U16" s="209" t="n"/>
      <c r="V16" s="209" t="n"/>
      <c r="W16" s="209" t="n"/>
      <c r="X16" s="209" t="n"/>
      <c r="Y16" s="209" t="n"/>
      <c r="Z16" s="209" t="n"/>
      <c r="AA16" s="209" t="n"/>
      <c r="AB16" s="209" t="n"/>
      <c r="AC16" s="71" t="n"/>
      <c r="AD16" s="71" t="n"/>
      <c r="AE16" s="210">
        <f>MIN(D16:AB16)</f>
        <v/>
      </c>
    </row>
    <row r="17">
      <c r="A17" s="315" t="n"/>
      <c r="B17" s="316" t="inlineStr">
        <is>
          <t>Prepared cereals</t>
        </is>
      </c>
      <c r="C17" s="320" t="inlineStr">
        <is>
          <t>Doughnut</t>
        </is>
      </c>
      <c r="D17" s="209" t="n">
        <v>6000</v>
      </c>
      <c r="E17" s="209" t="n">
        <v>3000</v>
      </c>
      <c r="F17" s="209" t="n">
        <v>3000</v>
      </c>
      <c r="G17" s="209" t="n"/>
      <c r="H17" s="209" t="n"/>
      <c r="I17" s="209" t="n"/>
      <c r="J17" s="209" t="n"/>
      <c r="K17" s="209" t="n"/>
      <c r="L17" s="209" t="n"/>
      <c r="M17" s="209" t="n"/>
      <c r="N17" s="209" t="n"/>
      <c r="O17" s="209" t="n"/>
      <c r="P17" s="209" t="n"/>
      <c r="Q17" s="209" t="n"/>
      <c r="R17" s="209" t="n"/>
      <c r="S17" s="209" t="n"/>
      <c r="T17" s="209" t="n"/>
      <c r="U17" s="209" t="n"/>
      <c r="V17" s="209" t="n"/>
      <c r="W17" s="209" t="n"/>
      <c r="X17" s="209" t="n"/>
      <c r="Y17" s="209" t="n"/>
      <c r="Z17" s="209" t="n"/>
      <c r="AA17" s="209" t="n"/>
      <c r="AB17" s="209" t="n"/>
      <c r="AC17" s="71" t="n"/>
      <c r="AD17" s="71" t="n"/>
      <c r="AE17" s="210">
        <f>MIN(D17:AB17)</f>
        <v/>
      </c>
    </row>
    <row r="18">
      <c r="A18" s="315" t="n"/>
      <c r="B18" s="316" t="inlineStr">
        <is>
          <t>Roots &amp; tubers (starchy)</t>
        </is>
      </c>
      <c r="C18" s="320" t="inlineStr">
        <is>
          <t>Cassava</t>
        </is>
      </c>
      <c r="D18" s="209" t="n">
        <v>1000</v>
      </c>
      <c r="E18" s="209" t="n">
        <v>1000</v>
      </c>
      <c r="F18" s="209" t="n">
        <v>1000</v>
      </c>
      <c r="G18" s="209" t="n">
        <v>1000</v>
      </c>
      <c r="H18" s="209" t="n">
        <v>1500</v>
      </c>
      <c r="I18" s="209" t="n">
        <v>1500</v>
      </c>
      <c r="J18" s="209" t="n"/>
      <c r="K18" s="209" t="n"/>
      <c r="L18" s="209" t="n"/>
      <c r="M18" s="209" t="n"/>
      <c r="N18" s="209" t="n"/>
      <c r="O18" s="209" t="n"/>
      <c r="P18" s="209" t="n"/>
      <c r="Q18" s="209" t="n"/>
      <c r="R18" s="209" t="n"/>
      <c r="S18" s="209" t="n"/>
      <c r="T18" s="209" t="n"/>
      <c r="U18" s="209" t="n"/>
      <c r="V18" s="209" t="n"/>
      <c r="W18" s="209" t="n"/>
      <c r="X18" s="209" t="n"/>
      <c r="Y18" s="209" t="n"/>
      <c r="Z18" s="209" t="n"/>
      <c r="AA18" s="209" t="n"/>
      <c r="AB18" s="209" t="n"/>
      <c r="AC18" s="71" t="n"/>
      <c r="AD18" s="71" t="n"/>
      <c r="AE18" s="210">
        <f>MIN(D18:AB18)</f>
        <v/>
      </c>
    </row>
    <row r="19">
      <c r="A19" s="315" t="n"/>
      <c r="B19" s="316" t="inlineStr">
        <is>
          <t>Roots &amp; tubers (starchy)</t>
        </is>
      </c>
      <c r="C19" s="320" t="inlineStr">
        <is>
          <t>Potatoes</t>
        </is>
      </c>
      <c r="D19" s="209" t="n">
        <v>1000</v>
      </c>
      <c r="E19" s="209" t="n">
        <v>1200</v>
      </c>
      <c r="F19" s="209" t="n">
        <v>1200</v>
      </c>
      <c r="G19" s="209" t="n">
        <v>1200</v>
      </c>
      <c r="H19" s="209" t="n">
        <v>1200</v>
      </c>
      <c r="I19" s="209" t="n">
        <v>1200</v>
      </c>
      <c r="J19" s="209" t="n">
        <v>1200</v>
      </c>
      <c r="K19" s="209" t="n">
        <v>1200</v>
      </c>
      <c r="L19" s="209" t="n">
        <v>1200</v>
      </c>
      <c r="M19" s="209" t="n"/>
      <c r="N19" s="209" t="n"/>
      <c r="O19" s="209" t="n"/>
      <c r="P19" s="209" t="n"/>
      <c r="Q19" s="209" t="n"/>
      <c r="R19" s="209" t="n"/>
      <c r="S19" s="209" t="n"/>
      <c r="T19" s="209" t="n"/>
      <c r="U19" s="209" t="n"/>
      <c r="V19" s="209" t="n"/>
      <c r="W19" s="209" t="n"/>
      <c r="X19" s="209" t="n"/>
      <c r="Y19" s="209" t="n"/>
      <c r="Z19" s="209" t="n"/>
      <c r="AA19" s="209" t="n"/>
      <c r="AB19" s="209" t="n"/>
      <c r="AC19" s="71" t="n"/>
      <c r="AD19" s="71" t="n"/>
      <c r="AE19" s="210">
        <f>MIN(D19:AB19)</f>
        <v/>
      </c>
    </row>
    <row r="20">
      <c r="A20" s="315" t="n"/>
      <c r="B20" s="316" t="inlineStr">
        <is>
          <t>Roots &amp; tubers (starchy)</t>
        </is>
      </c>
      <c r="C20" s="320" t="inlineStr">
        <is>
          <t>Yams</t>
        </is>
      </c>
      <c r="D20" s="209" t="n">
        <v>667</v>
      </c>
      <c r="E20" s="209" t="n">
        <v>1000</v>
      </c>
      <c r="F20" s="209" t="n">
        <v>1000</v>
      </c>
      <c r="G20" s="209" t="n">
        <v>1667</v>
      </c>
      <c r="H20" s="209" t="n">
        <v>2000</v>
      </c>
      <c r="I20" s="209" t="n"/>
      <c r="J20" s="209" t="n"/>
      <c r="K20" s="209" t="n"/>
      <c r="L20" s="209" t="n"/>
      <c r="M20" s="208" t="n"/>
      <c r="N20" s="208" t="n"/>
      <c r="O20" s="208" t="n"/>
      <c r="P20" s="208" t="n"/>
      <c r="Q20" s="208" t="n"/>
      <c r="R20" s="208" t="n"/>
      <c r="S20" s="208" t="n"/>
      <c r="T20" s="208" t="n"/>
      <c r="U20" s="208" t="n"/>
      <c r="V20" s="208" t="n"/>
      <c r="W20" s="208" t="n"/>
      <c r="X20" s="208" t="n"/>
      <c r="Y20" s="208" t="n"/>
      <c r="Z20" s="208" t="n"/>
      <c r="AA20" s="208" t="n"/>
      <c r="AB20" s="208" t="n"/>
      <c r="AD20" s="71" t="n"/>
      <c r="AE20" s="210">
        <f>MIN(D20:AB20)</f>
        <v/>
      </c>
    </row>
    <row r="21">
      <c r="A21" s="315" t="n"/>
      <c r="B21" s="316" t="inlineStr">
        <is>
          <t>Starchy fruit or vegetable</t>
        </is>
      </c>
      <c r="C21" s="320" t="inlineStr">
        <is>
          <t>Pumpkin</t>
        </is>
      </c>
      <c r="D21" s="209" t="n">
        <v>6000</v>
      </c>
      <c r="E21" s="209" t="n">
        <v>6000</v>
      </c>
      <c r="F21" s="209" t="n">
        <v>6000</v>
      </c>
      <c r="G21" s="209" t="n"/>
      <c r="H21" s="209" t="n"/>
      <c r="I21" s="209" t="n"/>
      <c r="J21" s="209" t="n"/>
      <c r="K21" s="209" t="n"/>
      <c r="L21" s="209" t="n"/>
      <c r="M21" s="208" t="n"/>
      <c r="N21" s="208" t="n"/>
      <c r="O21" s="361" t="n"/>
      <c r="P21" s="361" t="n"/>
      <c r="Q21" s="208" t="n"/>
      <c r="R21" s="208" t="n"/>
      <c r="S21" s="208" t="n"/>
      <c r="T21" s="208" t="n"/>
      <c r="U21" s="208" t="n"/>
      <c r="V21" s="208" t="n"/>
      <c r="W21" s="208" t="n"/>
      <c r="X21" s="208" t="n"/>
      <c r="Y21" s="208" t="n"/>
      <c r="Z21" s="208" t="n"/>
      <c r="AA21" s="208" t="n"/>
      <c r="AB21" s="208" t="n"/>
      <c r="AD21" s="71" t="n"/>
      <c r="AE21" s="210">
        <f>MIN(D21:AB21)</f>
        <v/>
      </c>
    </row>
    <row r="22">
      <c r="A22" s="315" t="n"/>
      <c r="B22" s="316" t="inlineStr">
        <is>
          <t>Starchy fruit or vegetable</t>
        </is>
      </c>
      <c r="C22" s="320" t="inlineStr">
        <is>
          <t>Matooke</t>
        </is>
      </c>
      <c r="D22" s="209" t="n">
        <v>833</v>
      </c>
      <c r="E22" s="209" t="n">
        <v>1250</v>
      </c>
      <c r="F22" s="209" t="n">
        <v>1250</v>
      </c>
      <c r="G22" s="209" t="n">
        <v>3333</v>
      </c>
      <c r="H22" s="209" t="n">
        <v>4000</v>
      </c>
      <c r="I22" s="209" t="n"/>
      <c r="J22" s="209" t="n"/>
      <c r="K22" s="209" t="n"/>
      <c r="L22" s="209" t="n"/>
      <c r="M22" s="208" t="n"/>
      <c r="N22" s="208" t="n"/>
      <c r="O22" s="208" t="n"/>
      <c r="P22" s="208" t="n"/>
      <c r="Q22" s="208" t="n"/>
      <c r="R22" s="208" t="n"/>
      <c r="S22" s="208" t="n"/>
      <c r="T22" s="208" t="n"/>
      <c r="U22" s="208" t="n"/>
      <c r="V22" s="208" t="n"/>
      <c r="W22" s="208" t="n"/>
      <c r="X22" s="208" t="n"/>
      <c r="Y22" s="208" t="n"/>
      <c r="Z22" s="208" t="n"/>
      <c r="AA22" s="208" t="n"/>
      <c r="AB22" s="208" t="n"/>
      <c r="AD22" s="71" t="n"/>
      <c r="AE22" s="210">
        <f>MIN(D22:AB22)</f>
        <v/>
      </c>
    </row>
    <row r="23">
      <c r="A23" s="315" t="n"/>
      <c r="B23" s="316" t="inlineStr">
        <is>
          <t>Starchy fruit or vegetable</t>
        </is>
      </c>
      <c r="C23" s="320" t="inlineStr">
        <is>
          <t>Green Pepper</t>
        </is>
      </c>
      <c r="D23" s="209" t="n">
        <v>6000</v>
      </c>
      <c r="E23" s="209" t="n">
        <v>1000</v>
      </c>
      <c r="F23" s="209" t="n">
        <v>1000</v>
      </c>
      <c r="G23" s="209" t="n"/>
      <c r="H23" s="209" t="n"/>
      <c r="I23" s="209" t="n"/>
      <c r="J23" s="209" t="n"/>
      <c r="K23" s="209" t="n"/>
      <c r="L23" s="209" t="n"/>
      <c r="M23" s="209" t="n"/>
      <c r="N23" s="209" t="n"/>
      <c r="O23" s="209" t="n"/>
      <c r="P23" s="209" t="n"/>
      <c r="Q23" s="209" t="n"/>
      <c r="R23" s="209" t="n"/>
      <c r="S23" s="209" t="n"/>
      <c r="T23" s="209" t="n"/>
      <c r="U23" s="209" t="n"/>
      <c r="V23" s="209" t="n"/>
      <c r="W23" s="209" t="n"/>
      <c r="X23" s="209" t="n"/>
      <c r="Y23" s="209" t="n"/>
      <c r="Z23" s="209" t="n"/>
      <c r="AA23" s="209" t="n"/>
      <c r="AB23" s="209" t="n"/>
      <c r="AC23" s="71" t="n"/>
      <c r="AD23" s="71" t="n"/>
      <c r="AE23" s="210">
        <f>MIN(D23:AB23)</f>
        <v/>
      </c>
    </row>
    <row r="24">
      <c r="A24" s="315" t="n"/>
      <c r="B24" s="316" t="inlineStr">
        <is>
          <t>Pulses, legumes, beans</t>
        </is>
      </c>
      <c r="C24" s="320" t="inlineStr">
        <is>
          <t>Groundnuts</t>
        </is>
      </c>
      <c r="D24" s="209" t="n">
        <v>6500</v>
      </c>
      <c r="E24" s="209" t="n">
        <v>6500</v>
      </c>
      <c r="F24" s="209" t="n">
        <v>6500</v>
      </c>
      <c r="G24" s="209" t="n">
        <v>7000</v>
      </c>
      <c r="H24" s="209" t="n">
        <v>7000</v>
      </c>
      <c r="I24" s="209" t="n">
        <v>7000</v>
      </c>
      <c r="J24" s="209" t="n">
        <v>7000</v>
      </c>
      <c r="K24" s="209" t="n">
        <v>7000</v>
      </c>
      <c r="L24" s="209" t="n">
        <v>7000</v>
      </c>
      <c r="M24" s="209" t="n">
        <v>7000</v>
      </c>
      <c r="N24" s="209" t="n">
        <v>7500</v>
      </c>
      <c r="O24" s="209" t="n">
        <v>7500</v>
      </c>
      <c r="P24" s="209" t="n"/>
      <c r="Q24" s="209" t="n"/>
      <c r="R24" s="209" t="n"/>
      <c r="S24" s="209" t="n"/>
      <c r="T24" s="209" t="n"/>
      <c r="U24" s="209" t="n"/>
      <c r="V24" s="209" t="n"/>
      <c r="W24" s="209" t="n"/>
      <c r="X24" s="209" t="n"/>
      <c r="Y24" s="209" t="n"/>
      <c r="Z24" s="209" t="n"/>
      <c r="AA24" s="209" t="n"/>
      <c r="AB24" s="209" t="n"/>
      <c r="AC24" s="71" t="n"/>
      <c r="AD24" s="71" t="n"/>
      <c r="AE24" s="210">
        <f>MIN(D24:AB24)</f>
        <v/>
      </c>
    </row>
    <row r="25">
      <c r="A25" s="315" t="n"/>
      <c r="B25" s="316" t="inlineStr">
        <is>
          <t>Pulses, legumes, beans</t>
        </is>
      </c>
      <c r="C25" s="320" t="inlineStr">
        <is>
          <t>fresh Beans</t>
        </is>
      </c>
      <c r="D25" s="209" t="n">
        <v>3000</v>
      </c>
      <c r="E25" s="209" t="n">
        <v>4000</v>
      </c>
      <c r="F25" s="209" t="n">
        <v>4000</v>
      </c>
      <c r="G25" s="209" t="n"/>
      <c r="H25" s="209" t="n"/>
      <c r="I25" s="209" t="n"/>
      <c r="J25" s="209" t="n"/>
      <c r="K25" s="209" t="n"/>
      <c r="L25" s="209" t="n"/>
      <c r="M25" s="209" t="n"/>
      <c r="N25" s="209" t="n"/>
      <c r="O25" s="209" t="n"/>
      <c r="P25" s="209" t="n"/>
      <c r="Q25" s="209" t="n"/>
      <c r="R25" s="209" t="n"/>
      <c r="S25" s="209" t="n"/>
      <c r="T25" s="209" t="n"/>
      <c r="U25" s="209" t="n"/>
      <c r="V25" s="209" t="n"/>
      <c r="W25" s="209" t="n"/>
      <c r="X25" s="209" t="n"/>
      <c r="Y25" s="209" t="n"/>
      <c r="Z25" s="209" t="n"/>
      <c r="AA25" s="209" t="n"/>
      <c r="AB25" s="209" t="n"/>
      <c r="AC25" s="71" t="n"/>
      <c r="AD25" s="71" t="n"/>
      <c r="AE25" s="210">
        <f>MIN(D25:AB25)</f>
        <v/>
      </c>
    </row>
    <row r="26">
      <c r="A26" s="315" t="n"/>
      <c r="B26" s="316" t="inlineStr">
        <is>
          <t>Pulses, legumes, beans</t>
        </is>
      </c>
      <c r="C26" s="320" t="inlineStr">
        <is>
          <t>Peas</t>
        </is>
      </c>
      <c r="D26" s="209" t="n">
        <v>5000</v>
      </c>
      <c r="E26" s="209" t="n">
        <v>6000</v>
      </c>
      <c r="F26" s="209" t="n">
        <v>6000</v>
      </c>
      <c r="G26" s="209" t="n"/>
      <c r="H26" s="209" t="n"/>
      <c r="I26" s="209" t="n"/>
      <c r="J26" s="209" t="n"/>
      <c r="K26" s="209" t="n"/>
      <c r="L26" s="209" t="n"/>
      <c r="M26" s="209" t="n"/>
      <c r="N26" s="209" t="n"/>
      <c r="O26" s="209" t="n"/>
      <c r="P26" s="209" t="n"/>
      <c r="Q26" s="209" t="n"/>
      <c r="R26" s="209" t="n"/>
      <c r="S26" s="209" t="n"/>
      <c r="T26" s="209" t="n"/>
      <c r="U26" s="209" t="n"/>
      <c r="V26" s="209" t="n"/>
      <c r="W26" s="209" t="n"/>
      <c r="X26" s="209" t="n"/>
      <c r="Y26" s="209" t="n"/>
      <c r="Z26" s="209" t="n"/>
      <c r="AA26" s="209" t="n"/>
      <c r="AB26" s="209" t="n"/>
      <c r="AC26" s="71" t="n"/>
      <c r="AD26" s="71" t="n"/>
      <c r="AE26" s="210">
        <f>MIN(D26:AB26)</f>
        <v/>
      </c>
    </row>
    <row r="27">
      <c r="A27" s="315" t="n"/>
      <c r="B27" s="316" t="inlineStr">
        <is>
          <t>Pulses, legumes, beans</t>
        </is>
      </c>
      <c r="C27" s="320" t="inlineStr">
        <is>
          <t>Soy</t>
        </is>
      </c>
      <c r="D27" s="209" t="n">
        <v>3500</v>
      </c>
      <c r="E27" s="209" t="n">
        <v>4000</v>
      </c>
      <c r="F27" s="209" t="n"/>
      <c r="G27" s="209" t="n"/>
      <c r="H27" s="209" t="n"/>
      <c r="I27" s="209" t="n"/>
      <c r="J27" s="209" t="n"/>
      <c r="K27" s="209" t="n"/>
      <c r="L27" s="209" t="n"/>
      <c r="M27" s="209" t="n"/>
      <c r="N27" s="209" t="n"/>
      <c r="O27" s="209" t="n"/>
      <c r="P27" s="209" t="n"/>
      <c r="Q27" s="209" t="n"/>
      <c r="R27" s="209" t="n"/>
      <c r="S27" s="209" t="n"/>
      <c r="T27" s="209" t="n"/>
      <c r="U27" s="209" t="n"/>
      <c r="V27" s="208" t="n"/>
      <c r="W27" s="209" t="n"/>
      <c r="X27" s="209" t="n"/>
      <c r="Y27" s="209" t="n"/>
      <c r="Z27" s="209" t="n"/>
      <c r="AA27" s="209" t="n"/>
      <c r="AB27" s="209" t="n"/>
      <c r="AC27" s="71" t="n"/>
      <c r="AD27" s="71" t="n"/>
      <c r="AE27" s="210">
        <f>MIN(D27:AB27)</f>
        <v/>
      </c>
    </row>
    <row r="28">
      <c r="A28" s="315" t="n"/>
      <c r="B28" s="316" t="inlineStr">
        <is>
          <t>Pulses, legumes, beans</t>
        </is>
      </c>
      <c r="C28" s="320" t="inlineStr">
        <is>
          <t>drybeans</t>
        </is>
      </c>
      <c r="D28" s="209" t="n">
        <v>3500</v>
      </c>
      <c r="E28" s="209" t="n">
        <v>3500</v>
      </c>
      <c r="F28" s="209" t="n">
        <v>3500</v>
      </c>
      <c r="G28" s="209" t="n">
        <v>3500</v>
      </c>
      <c r="H28" s="209" t="n">
        <v>3800</v>
      </c>
      <c r="I28" s="209" t="n">
        <v>4000</v>
      </c>
      <c r="J28" s="209" t="n">
        <v>4000</v>
      </c>
      <c r="K28" s="209" t="n">
        <v>4000</v>
      </c>
      <c r="L28" s="209" t="n">
        <v>4000</v>
      </c>
      <c r="M28" s="209" t="n"/>
      <c r="N28" s="209" t="n"/>
      <c r="O28" s="209" t="n"/>
      <c r="P28" s="209" t="n"/>
      <c r="Q28" s="209" t="n"/>
      <c r="R28" s="209" t="n"/>
      <c r="S28" s="209" t="n"/>
      <c r="T28" s="209" t="n"/>
      <c r="U28" s="209" t="n"/>
      <c r="V28" s="209" t="n"/>
      <c r="W28" s="209" t="n"/>
      <c r="X28" s="209" t="n"/>
      <c r="Y28" s="209" t="n"/>
      <c r="Z28" s="209" t="n"/>
      <c r="AA28" s="209" t="n"/>
      <c r="AB28" s="209" t="n"/>
      <c r="AC28" s="71" t="n"/>
      <c r="AD28" s="71" t="n"/>
      <c r="AE28" s="210">
        <f>MIN(D28:AB28)</f>
        <v/>
      </c>
    </row>
    <row r="29">
      <c r="A29" s="315" t="n"/>
      <c r="B29" s="316" t="inlineStr">
        <is>
          <t>Dairy</t>
        </is>
      </c>
      <c r="C29" s="320" t="inlineStr">
        <is>
          <t>Milk</t>
        </is>
      </c>
      <c r="D29" s="209" t="n">
        <v>2000</v>
      </c>
      <c r="E29" s="209" t="n">
        <v>4000</v>
      </c>
      <c r="F29" s="209" t="n">
        <v>5000</v>
      </c>
      <c r="G29" s="209" t="n">
        <v>5000</v>
      </c>
      <c r="H29" s="209" t="n">
        <v>5000</v>
      </c>
      <c r="I29" s="209" t="n"/>
      <c r="J29" s="209" t="n"/>
      <c r="K29" s="209" t="n"/>
      <c r="L29" s="209" t="n"/>
      <c r="M29" s="209" t="n"/>
      <c r="N29" s="209" t="n"/>
      <c r="O29" s="209" t="n"/>
      <c r="P29" s="209" t="n"/>
      <c r="Q29" s="209" t="n"/>
      <c r="R29" s="209" t="n"/>
      <c r="S29" s="209" t="n"/>
      <c r="T29" s="209" t="n"/>
      <c r="U29" s="209" t="n"/>
      <c r="V29" s="209" t="n"/>
      <c r="W29" s="209" t="n"/>
      <c r="X29" s="209" t="n"/>
      <c r="Y29" s="209" t="n"/>
      <c r="Z29" s="209" t="n"/>
      <c r="AA29" s="209" t="n"/>
      <c r="AB29" s="209" t="n"/>
      <c r="AC29" s="71" t="n"/>
      <c r="AD29" s="71" t="n"/>
      <c r="AE29" s="210">
        <f>MIN(D29:AB29)</f>
        <v/>
      </c>
    </row>
    <row r="30">
      <c r="A30" s="315" t="n"/>
      <c r="B30" s="316" t="inlineStr">
        <is>
          <t>Dairy</t>
        </is>
      </c>
      <c r="C30" s="320" t="inlineStr">
        <is>
          <t>Youghurt</t>
        </is>
      </c>
      <c r="D30" s="209" t="n">
        <v>3000</v>
      </c>
      <c r="E30" s="209" t="n">
        <v>5000</v>
      </c>
      <c r="F30" s="209" t="n">
        <v>7000</v>
      </c>
      <c r="G30" s="209" t="n"/>
      <c r="H30" s="209" t="n"/>
      <c r="I30" s="209" t="n"/>
      <c r="J30" s="209" t="n"/>
      <c r="K30" s="209" t="n"/>
      <c r="L30" s="209" t="n"/>
      <c r="M30" s="209" t="n"/>
      <c r="N30" s="209" t="n"/>
      <c r="O30" s="209" t="n"/>
      <c r="P30" s="209" t="n"/>
      <c r="Q30" s="209" t="n"/>
      <c r="R30" s="209" t="n"/>
      <c r="S30" s="209" t="n"/>
      <c r="T30" s="209" t="n"/>
      <c r="U30" s="209" t="n"/>
      <c r="V30" s="209" t="n"/>
      <c r="W30" s="209" t="n"/>
      <c r="X30" s="209" t="n"/>
      <c r="Y30" s="209" t="n"/>
      <c r="Z30" s="209" t="n"/>
      <c r="AA30" s="209" t="n"/>
      <c r="AB30" s="209" t="n"/>
      <c r="AC30" s="71" t="n"/>
      <c r="AD30" s="71" t="n"/>
      <c r="AE30" s="210">
        <f>MIN(D30:AB30)</f>
        <v/>
      </c>
    </row>
    <row r="31">
      <c r="A31" s="315" t="n"/>
      <c r="B31" s="316" t="inlineStr">
        <is>
          <t>Dairy</t>
        </is>
      </c>
      <c r="C31" s="320" t="inlineStr">
        <is>
          <t>Butter</t>
        </is>
      </c>
      <c r="D31" s="209" t="n">
        <v>16000</v>
      </c>
      <c r="E31" s="209" t="n">
        <v>20000</v>
      </c>
      <c r="F31" s="209" t="n">
        <v>20000</v>
      </c>
      <c r="G31" s="209" t="n">
        <v>20000</v>
      </c>
      <c r="H31" s="209" t="n">
        <v>22000</v>
      </c>
      <c r="I31" s="209" t="n">
        <v>22000</v>
      </c>
      <c r="J31" s="209" t="n">
        <v>22000</v>
      </c>
      <c r="K31" s="209" t="n">
        <v>22000</v>
      </c>
      <c r="L31" s="209" t="n">
        <v>25000</v>
      </c>
      <c r="M31" s="209" t="n">
        <v>25000</v>
      </c>
      <c r="N31" s="209" t="n"/>
      <c r="O31" s="209" t="n"/>
      <c r="P31" s="209" t="n"/>
      <c r="Q31" s="209" t="n"/>
      <c r="R31" s="209" t="n"/>
      <c r="S31" s="209" t="n"/>
      <c r="T31" s="209" t="n"/>
      <c r="U31" s="209" t="n"/>
      <c r="V31" s="209" t="n"/>
      <c r="W31" s="209" t="n"/>
      <c r="X31" s="209" t="n"/>
      <c r="Y31" s="209" t="n"/>
      <c r="Z31" s="209" t="n"/>
      <c r="AA31" s="209" t="n"/>
      <c r="AB31" s="209" t="n"/>
      <c r="AC31" s="71" t="n"/>
      <c r="AD31" s="71" t="n"/>
      <c r="AE31" s="210">
        <f>MIN(D31:AB31)</f>
        <v/>
      </c>
    </row>
    <row r="32">
      <c r="A32" s="315" t="n"/>
      <c r="B32" s="316" t="inlineStr">
        <is>
          <t>Eggs</t>
        </is>
      </c>
      <c r="C32" s="320" t="inlineStr">
        <is>
          <t>Eggs</t>
        </is>
      </c>
      <c r="D32" s="209" t="n">
        <v>5667</v>
      </c>
      <c r="E32" s="209" t="n">
        <v>5833</v>
      </c>
      <c r="F32" s="209" t="n">
        <v>5833</v>
      </c>
      <c r="G32" s="209" t="n">
        <v>6111</v>
      </c>
      <c r="H32" s="209" t="n">
        <v>6667</v>
      </c>
      <c r="I32" s="209" t="n">
        <v>6667</v>
      </c>
      <c r="J32" s="209" t="n"/>
      <c r="K32" s="209" t="n"/>
      <c r="L32" s="209" t="n"/>
      <c r="M32" s="209" t="n"/>
      <c r="N32" s="209" t="n"/>
      <c r="O32" s="209" t="n"/>
      <c r="P32" s="209" t="n"/>
      <c r="Q32" s="209" t="n"/>
      <c r="R32" s="209" t="n"/>
      <c r="S32" s="209" t="n"/>
      <c r="T32" s="209" t="n"/>
      <c r="U32" s="209" t="n"/>
      <c r="V32" s="209" t="n"/>
      <c r="W32" s="209" t="n"/>
      <c r="X32" s="209" t="n"/>
      <c r="Y32" s="209" t="n"/>
      <c r="Z32" s="209" t="n"/>
      <c r="AA32" s="209" t="n"/>
      <c r="AB32" s="209" t="n"/>
      <c r="AC32" s="71" t="n"/>
      <c r="AD32" s="71" t="n"/>
      <c r="AE32" s="210">
        <f>MIN(D32:AB32)</f>
        <v/>
      </c>
    </row>
    <row r="33">
      <c r="A33" s="315" t="n"/>
      <c r="B33" s="316" t="inlineStr">
        <is>
          <t>Eggs</t>
        </is>
      </c>
      <c r="C33" s="320" t="inlineStr">
        <is>
          <t>Eggs</t>
        </is>
      </c>
      <c r="D33" s="209" t="n">
        <v>5667</v>
      </c>
      <c r="E33" s="209" t="n">
        <v>5833</v>
      </c>
      <c r="F33" s="209" t="n">
        <v>5833</v>
      </c>
      <c r="G33" s="209" t="n">
        <v>6111</v>
      </c>
      <c r="H33" s="209" t="n">
        <v>6667</v>
      </c>
      <c r="I33" s="209" t="n">
        <v>6667</v>
      </c>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71" t="n"/>
      <c r="AD33" s="71" t="n"/>
      <c r="AE33" s="210">
        <f>MIN(D33:AB33)</f>
        <v/>
      </c>
    </row>
    <row r="34">
      <c r="A34" s="315" t="n"/>
      <c r="B34" s="316" t="inlineStr">
        <is>
          <t>Eggs</t>
        </is>
      </c>
      <c r="C34" s="320" t="inlineStr">
        <is>
          <t>Eggs</t>
        </is>
      </c>
      <c r="D34" s="209" t="n">
        <v>5667</v>
      </c>
      <c r="E34" s="209" t="n">
        <v>5833</v>
      </c>
      <c r="F34" s="209" t="n">
        <v>5833</v>
      </c>
      <c r="G34" s="209" t="n">
        <v>6111</v>
      </c>
      <c r="H34" s="209" t="n">
        <v>6667</v>
      </c>
      <c r="I34" s="209" t="n">
        <v>6667</v>
      </c>
      <c r="J34" s="209" t="n"/>
      <c r="K34" s="209" t="n"/>
      <c r="L34" s="209" t="n"/>
      <c r="M34" s="209" t="n"/>
      <c r="N34" s="209" t="n"/>
      <c r="O34" s="209" t="n"/>
      <c r="P34" s="208" t="n"/>
      <c r="Q34" s="209" t="n"/>
      <c r="R34" s="209" t="n"/>
      <c r="S34" s="209" t="n"/>
      <c r="T34" s="209" t="n"/>
      <c r="U34" s="209" t="n"/>
      <c r="V34" s="209" t="n"/>
      <c r="W34" s="209" t="n"/>
      <c r="X34" s="209" t="n"/>
      <c r="Y34" s="209" t="n"/>
      <c r="Z34" s="209" t="n"/>
      <c r="AA34" s="209" t="n"/>
      <c r="AB34" s="209" t="n"/>
      <c r="AC34" s="71" t="n"/>
      <c r="AD34" s="71" t="n"/>
      <c r="AE34" s="210">
        <f>MIN(D34:AB34)</f>
        <v/>
      </c>
    </row>
    <row r="35">
      <c r="A35" s="315" t="n"/>
      <c r="B35" s="316" t="inlineStr">
        <is>
          <t>Meats</t>
        </is>
      </c>
      <c r="C35" s="320" t="inlineStr">
        <is>
          <t>Chicken</t>
        </is>
      </c>
      <c r="D35" s="209" t="n">
        <v>14000</v>
      </c>
      <c r="E35" s="209" t="n">
        <v>15000</v>
      </c>
      <c r="F35" s="209" t="n"/>
      <c r="G35" s="209" t="n"/>
      <c r="H35" s="209" t="n"/>
      <c r="I35" s="209" t="n"/>
      <c r="J35" s="209" t="n"/>
      <c r="K35" s="209" t="n"/>
      <c r="L35" s="209" t="n"/>
      <c r="M35" s="209" t="n"/>
      <c r="N35" s="209" t="n"/>
      <c r="O35" s="209" t="n"/>
      <c r="P35" s="208" t="n"/>
      <c r="Q35" s="209" t="n"/>
      <c r="R35" s="209" t="n"/>
      <c r="S35" s="209" t="n"/>
      <c r="T35" s="209" t="n"/>
      <c r="U35" s="209" t="n"/>
      <c r="V35" s="209" t="n"/>
      <c r="W35" s="209" t="n"/>
      <c r="X35" s="209" t="n"/>
      <c r="Y35" s="209" t="n"/>
      <c r="Z35" s="209" t="n"/>
      <c r="AA35" s="209" t="n"/>
      <c r="AB35" s="209" t="n"/>
      <c r="AC35" s="71" t="n"/>
      <c r="AD35" s="71" t="n"/>
      <c r="AE35" s="210">
        <f>MIN(D35:AB35)</f>
        <v/>
      </c>
    </row>
    <row r="36">
      <c r="A36" s="315" t="n"/>
      <c r="B36" s="316" t="inlineStr">
        <is>
          <t>Meats</t>
        </is>
      </c>
      <c r="C36" s="320" t="inlineStr">
        <is>
          <t>beef</t>
        </is>
      </c>
      <c r="D36" s="209" t="n">
        <v>16000</v>
      </c>
      <c r="E36" s="209" t="n">
        <v>16000</v>
      </c>
      <c r="F36" s="209" t="n">
        <v>17000</v>
      </c>
      <c r="G36" s="209" t="n">
        <v>17000</v>
      </c>
      <c r="H36" s="209" t="n">
        <v>18000</v>
      </c>
      <c r="I36" s="209" t="n">
        <v>18000</v>
      </c>
      <c r="J36" s="209" t="n">
        <v>18000</v>
      </c>
      <c r="K36" s="209" t="n">
        <v>19000</v>
      </c>
      <c r="L36" s="209" t="n"/>
      <c r="M36" s="209" t="n"/>
      <c r="N36" s="209" t="n"/>
      <c r="O36" s="209" t="n"/>
      <c r="P36" s="209" t="n"/>
      <c r="Q36" s="209" t="n"/>
      <c r="R36" s="209" t="n"/>
      <c r="S36" s="209" t="n"/>
      <c r="T36" s="209" t="n"/>
      <c r="U36" s="209" t="n"/>
      <c r="V36" s="209" t="n"/>
      <c r="W36" s="209" t="n"/>
      <c r="X36" s="209" t="n"/>
      <c r="Y36" s="209" t="n"/>
      <c r="Z36" s="209" t="n"/>
      <c r="AA36" s="209" t="n"/>
      <c r="AB36" s="209" t="n"/>
      <c r="AC36" s="71" t="n"/>
      <c r="AD36" s="71" t="n"/>
      <c r="AE36" s="210">
        <f>MIN(D36:AB36)</f>
        <v/>
      </c>
    </row>
    <row r="37">
      <c r="A37" s="315" t="n"/>
      <c r="B37" s="316" t="inlineStr">
        <is>
          <t>Meats</t>
        </is>
      </c>
      <c r="C37" s="320" t="inlineStr">
        <is>
          <t>Goat/Chevon</t>
        </is>
      </c>
      <c r="D37" s="209" t="n">
        <v>20000</v>
      </c>
      <c r="E37" s="209" t="n">
        <v>20000</v>
      </c>
      <c r="F37" s="209" t="n">
        <v>20000</v>
      </c>
      <c r="G37" s="209" t="n">
        <v>20000</v>
      </c>
      <c r="H37" s="209" t="n">
        <v>20000</v>
      </c>
      <c r="I37" s="209" t="n"/>
      <c r="J37" s="209" t="n"/>
      <c r="K37" s="209" t="n"/>
      <c r="L37" s="209" t="n"/>
      <c r="M37" s="209" t="n"/>
      <c r="N37" s="209" t="n"/>
      <c r="O37" s="209" t="n"/>
      <c r="P37" s="209" t="n"/>
      <c r="Q37" s="209" t="n"/>
      <c r="R37" s="209" t="n"/>
      <c r="S37" s="209" t="n"/>
      <c r="T37" s="209" t="n"/>
      <c r="U37" s="209" t="n"/>
      <c r="V37" s="209" t="n"/>
      <c r="W37" s="209" t="n"/>
      <c r="X37" s="209" t="n"/>
      <c r="Y37" s="209" t="n"/>
      <c r="Z37" s="209" t="n"/>
      <c r="AA37" s="209" t="n"/>
      <c r="AB37" s="209" t="n"/>
      <c r="AC37" s="71" t="n"/>
      <c r="AD37" s="71" t="n"/>
      <c r="AE37" s="210">
        <f>MIN(D37:AB37)</f>
        <v/>
      </c>
    </row>
    <row r="38">
      <c r="A38" s="315" t="n"/>
      <c r="B38" s="316" t="inlineStr">
        <is>
          <t>Fish</t>
        </is>
      </c>
      <c r="C38" s="320" t="inlineStr">
        <is>
          <t>Ngege Fresh</t>
        </is>
      </c>
      <c r="D38" s="209" t="n">
        <v>25000</v>
      </c>
      <c r="E38" s="209" t="n">
        <v>10000</v>
      </c>
      <c r="F38" s="209" t="n">
        <v>10000</v>
      </c>
      <c r="G38" s="209" t="n"/>
      <c r="H38" s="209" t="n"/>
      <c r="I38" s="209" t="n"/>
      <c r="J38" s="209" t="n"/>
      <c r="K38" s="209" t="n"/>
      <c r="L38" s="209" t="n"/>
      <c r="M38" s="209" t="n"/>
      <c r="N38" s="209" t="n"/>
      <c r="O38" s="209" t="n"/>
      <c r="P38" s="209" t="n"/>
      <c r="Q38" s="209" t="n"/>
      <c r="R38" s="209" t="n"/>
      <c r="S38" s="209" t="n"/>
      <c r="T38" s="209" t="n"/>
      <c r="U38" s="209" t="n"/>
      <c r="V38" s="209" t="n"/>
      <c r="W38" s="209" t="n"/>
      <c r="X38" s="209" t="n"/>
      <c r="Y38" s="209" t="n"/>
      <c r="Z38" s="209" t="n"/>
      <c r="AA38" s="209" t="n"/>
      <c r="AB38" s="209" t="n"/>
      <c r="AC38" s="71" t="n"/>
      <c r="AD38" s="71" t="n"/>
      <c r="AE38" s="210">
        <f>MIN(D38:AB38)</f>
        <v/>
      </c>
    </row>
    <row r="39">
      <c r="A39" s="315" t="n"/>
      <c r="B39" s="316" t="inlineStr">
        <is>
          <t>Fish</t>
        </is>
      </c>
      <c r="C39" s="320" t="inlineStr">
        <is>
          <t>Mpuuta</t>
        </is>
      </c>
      <c r="D39" s="209" t="n">
        <v>35000</v>
      </c>
      <c r="E39" s="209" t="n">
        <v>35000</v>
      </c>
      <c r="F39" s="209" t="n">
        <v>35000</v>
      </c>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71" t="n"/>
      <c r="AD39" s="71" t="n"/>
      <c r="AE39" s="210">
        <f>MIN(D39:AB39)</f>
        <v/>
      </c>
    </row>
    <row r="40">
      <c r="A40" s="315" t="n"/>
      <c r="B40" s="316" t="inlineStr">
        <is>
          <t>Fish</t>
        </is>
      </c>
      <c r="C40" s="320" t="inlineStr">
        <is>
          <t>Mukene</t>
        </is>
      </c>
      <c r="D40" s="209" t="n">
        <v>1000</v>
      </c>
      <c r="E40" s="209" t="n">
        <v>1000</v>
      </c>
      <c r="F40" s="209" t="n">
        <v>1000</v>
      </c>
      <c r="G40" s="209" t="n"/>
      <c r="H40" s="209" t="n"/>
      <c r="I40" s="209" t="n"/>
      <c r="J40" s="209" t="n"/>
      <c r="K40" s="209" t="n"/>
      <c r="L40" s="209" t="n"/>
      <c r="M40" s="209" t="n"/>
      <c r="N40" s="209" t="n"/>
      <c r="O40" s="209" t="n"/>
      <c r="P40" s="209" t="n"/>
      <c r="Q40" s="209" t="n"/>
      <c r="R40" s="209" t="n"/>
      <c r="S40" s="209" t="n"/>
      <c r="T40" s="209" t="n"/>
      <c r="U40" s="209" t="n"/>
      <c r="V40" s="209" t="n"/>
      <c r="W40" s="209" t="n"/>
      <c r="X40" s="209" t="n"/>
      <c r="Y40" s="209" t="n"/>
      <c r="Z40" s="209" t="n"/>
      <c r="AA40" s="209" t="n"/>
      <c r="AB40" s="209" t="n"/>
      <c r="AC40" s="71" t="n"/>
      <c r="AD40" s="71" t="n"/>
      <c r="AE40" s="210">
        <f>MIN(D40:AB40)</f>
        <v/>
      </c>
    </row>
    <row r="41">
      <c r="A41" s="315" t="n"/>
      <c r="B41" s="316" t="inlineStr">
        <is>
          <t>Fish</t>
        </is>
      </c>
      <c r="C41" s="320" t="inlineStr">
        <is>
          <t>Ngege Dried</t>
        </is>
      </c>
      <c r="D41" s="209" t="n">
        <v>18000</v>
      </c>
      <c r="E41" s="209" t="n">
        <v>18000</v>
      </c>
      <c r="F41" s="209" t="n">
        <v>18000</v>
      </c>
      <c r="G41" s="209" t="n"/>
      <c r="H41" s="209" t="n"/>
      <c r="I41" s="209" t="n"/>
      <c r="J41" s="209" t="n"/>
      <c r="K41" s="209" t="n"/>
      <c r="L41" s="209" t="n"/>
      <c r="M41" s="209" t="n"/>
      <c r="N41" s="209" t="n"/>
      <c r="O41" s="209" t="n"/>
      <c r="P41" s="209" t="n"/>
      <c r="Q41" s="209" t="n"/>
      <c r="R41" s="209" t="n"/>
      <c r="S41" s="209" t="n"/>
      <c r="T41" s="209" t="n"/>
      <c r="U41" s="209" t="n"/>
      <c r="V41" s="209" t="n"/>
      <c r="W41" s="209" t="n"/>
      <c r="X41" s="209" t="n"/>
      <c r="Y41" s="209" t="n"/>
      <c r="Z41" s="209" t="n"/>
      <c r="AA41" s="209" t="n"/>
      <c r="AB41" s="209" t="n"/>
      <c r="AC41" s="71" t="n"/>
      <c r="AD41" s="71" t="n"/>
      <c r="AE41" s="210">
        <f>MIN(D41:AB41)</f>
        <v/>
      </c>
    </row>
    <row r="42">
      <c r="A42" s="315" t="n"/>
      <c r="B42" s="316" t="inlineStr">
        <is>
          <t>Green leafy vegetables</t>
        </is>
      </c>
      <c r="C42" s="320" t="inlineStr">
        <is>
          <t>Nakati</t>
        </is>
      </c>
      <c r="D42" s="209" t="n">
        <v>1667</v>
      </c>
      <c r="E42" s="209" t="n">
        <v>1667</v>
      </c>
      <c r="F42" s="209" t="n">
        <v>1667</v>
      </c>
      <c r="G42" s="209" t="n">
        <v>1667</v>
      </c>
      <c r="H42" s="209" t="n">
        <v>2000</v>
      </c>
      <c r="I42" s="209" t="n">
        <v>3333</v>
      </c>
      <c r="J42" s="209" t="n"/>
      <c r="K42" s="209" t="n"/>
      <c r="L42" s="209" t="n"/>
      <c r="M42" s="209" t="n"/>
      <c r="N42" s="209" t="n"/>
      <c r="O42" s="209" t="n"/>
      <c r="P42" s="209" t="n"/>
      <c r="Q42" s="209" t="n"/>
      <c r="R42" s="209" t="n"/>
      <c r="S42" s="209" t="n"/>
      <c r="T42" s="209" t="n"/>
      <c r="U42" s="209" t="n"/>
      <c r="V42" s="209" t="n"/>
      <c r="W42" s="209" t="n"/>
      <c r="X42" s="209" t="n"/>
      <c r="Y42" s="209" t="n"/>
      <c r="Z42" s="209" t="n"/>
      <c r="AA42" s="209" t="n"/>
      <c r="AB42" s="209" t="n"/>
      <c r="AC42" s="71" t="n"/>
      <c r="AD42" s="71" t="n"/>
      <c r="AE42" s="210">
        <f>MIN(D42:AB42)</f>
        <v/>
      </c>
    </row>
    <row r="43">
      <c r="A43" s="315" t="n"/>
      <c r="B43" s="316" t="inlineStr">
        <is>
          <t>Green leafy vegetables</t>
        </is>
      </c>
      <c r="C43" s="320" t="inlineStr">
        <is>
          <t>Spinach</t>
        </is>
      </c>
      <c r="D43" s="209" t="n">
        <v>6000</v>
      </c>
      <c r="E43" s="209" t="n">
        <v>1000</v>
      </c>
      <c r="F43" s="209" t="n">
        <v>1000</v>
      </c>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71" t="n"/>
      <c r="AD43" s="71" t="n"/>
      <c r="AE43" s="210">
        <f>MIN(D43:AB43)</f>
        <v/>
      </c>
    </row>
    <row r="44">
      <c r="A44" s="315" t="n"/>
      <c r="B44" s="316" t="inlineStr">
        <is>
          <t>Green leafy vegetables</t>
        </is>
      </c>
      <c r="C44" s="320" t="inlineStr">
        <is>
          <t>Sukuma</t>
        </is>
      </c>
      <c r="D44" s="209" t="n">
        <v>6000</v>
      </c>
      <c r="E44" s="209" t="n">
        <v>1000</v>
      </c>
      <c r="F44" s="209" t="n">
        <v>1000</v>
      </c>
      <c r="G44" s="209" t="n"/>
      <c r="H44" s="209" t="n"/>
      <c r="I44" s="209" t="n"/>
      <c r="J44" s="209" t="n"/>
      <c r="K44" s="209" t="n"/>
      <c r="L44" s="209" t="n"/>
      <c r="M44" s="209" t="n"/>
      <c r="N44" s="209" t="n"/>
      <c r="O44" s="209" t="n"/>
      <c r="P44" s="209" t="n"/>
      <c r="Q44" s="209" t="n"/>
      <c r="R44" s="209" t="n"/>
      <c r="S44" s="209" t="n"/>
      <c r="T44" s="209" t="n"/>
      <c r="U44" s="209" t="n"/>
      <c r="V44" s="209" t="n"/>
      <c r="W44" s="209" t="n"/>
      <c r="X44" s="209" t="n"/>
      <c r="Y44" s="209" t="n"/>
      <c r="Z44" s="209" t="n"/>
      <c r="AA44" s="209" t="n"/>
      <c r="AB44" s="209" t="n"/>
      <c r="AC44" s="71" t="n"/>
      <c r="AD44" s="71" t="n"/>
      <c r="AE44" s="210">
        <f>MIN(D44:AB44)</f>
        <v/>
      </c>
    </row>
    <row r="45">
      <c r="A45" s="315" t="n"/>
      <c r="B45" s="316" t="inlineStr">
        <is>
          <t>Other vegetables</t>
        </is>
      </c>
      <c r="C45" s="320" t="inlineStr">
        <is>
          <t>Doodo</t>
        </is>
      </c>
      <c r="D45" s="209" t="n">
        <v>1667</v>
      </c>
      <c r="E45" s="209" t="n">
        <v>1667</v>
      </c>
      <c r="F45" s="209" t="n">
        <v>1667</v>
      </c>
      <c r="G45" s="209" t="n">
        <v>1667</v>
      </c>
      <c r="H45" s="209" t="n">
        <v>1667</v>
      </c>
      <c r="I45" s="209" t="n">
        <v>2000</v>
      </c>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71" t="n"/>
      <c r="AD45" s="71" t="n"/>
      <c r="AE45" s="210">
        <f>MIN(D45:AB45)</f>
        <v/>
      </c>
    </row>
    <row r="46">
      <c r="A46" s="315" t="n"/>
      <c r="B46" s="316" t="inlineStr">
        <is>
          <t>Other vegetables</t>
        </is>
      </c>
      <c r="C46" s="320" t="inlineStr">
        <is>
          <t>Bbuga</t>
        </is>
      </c>
      <c r="D46" s="209" t="n">
        <v>1667</v>
      </c>
      <c r="E46" s="209" t="n">
        <v>1667</v>
      </c>
      <c r="F46" s="209" t="n">
        <v>1667</v>
      </c>
      <c r="G46" s="209" t="n">
        <v>1667</v>
      </c>
      <c r="H46" s="209" t="n">
        <v>1667</v>
      </c>
      <c r="I46" s="209" t="n">
        <v>1667</v>
      </c>
      <c r="J46" s="209" t="n"/>
      <c r="K46" s="209" t="n"/>
      <c r="L46" s="209" t="n"/>
      <c r="M46" s="209" t="n"/>
      <c r="N46" s="209" t="n"/>
      <c r="O46" s="209" t="n"/>
      <c r="P46" s="209" t="n"/>
      <c r="Q46" s="209" t="n"/>
      <c r="R46" s="209" t="n"/>
      <c r="S46" s="209" t="n"/>
      <c r="T46" s="209" t="n"/>
      <c r="U46" s="209" t="n"/>
      <c r="V46" s="209" t="n"/>
      <c r="W46" s="209" t="n"/>
      <c r="X46" s="209" t="n"/>
      <c r="Y46" s="209" t="n"/>
      <c r="Z46" s="209" t="n"/>
      <c r="AA46" s="209" t="n"/>
      <c r="AB46" s="209" t="n"/>
      <c r="AC46" s="71" t="n"/>
      <c r="AD46" s="71" t="n"/>
      <c r="AE46" s="210">
        <f>MIN(D46:AB46)</f>
        <v/>
      </c>
    </row>
    <row r="47">
      <c r="A47" s="315" t="n"/>
      <c r="B47" s="316" t="inlineStr">
        <is>
          <t>Other vegetables</t>
        </is>
      </c>
      <c r="C47" s="320" t="inlineStr">
        <is>
          <t>Spring Onions</t>
        </is>
      </c>
      <c r="D47" s="209" t="n">
        <v>6000</v>
      </c>
      <c r="E47" s="209" t="n">
        <v>1000</v>
      </c>
      <c r="F47" s="209" t="n">
        <v>1000</v>
      </c>
      <c r="G47" s="209" t="n"/>
      <c r="H47" s="209" t="n"/>
      <c r="I47" s="209" t="n"/>
      <c r="J47" s="209" t="n"/>
      <c r="K47" s="209" t="n"/>
      <c r="L47" s="209" t="n"/>
      <c r="M47" s="209" t="n"/>
      <c r="N47" s="209" t="n"/>
      <c r="O47" s="209" t="n"/>
      <c r="P47" s="209" t="n"/>
      <c r="Q47" s="209" t="n"/>
      <c r="R47" s="209" t="n"/>
      <c r="S47" s="209" t="n"/>
      <c r="T47" s="209" t="n"/>
      <c r="U47" s="209" t="n"/>
      <c r="V47" s="209" t="n"/>
      <c r="W47" s="209" t="n"/>
      <c r="X47" s="209" t="n"/>
      <c r="Y47" s="209" t="n"/>
      <c r="Z47" s="209" t="n"/>
      <c r="AA47" s="209" t="n"/>
      <c r="AB47" s="209" t="n"/>
      <c r="AC47" s="71" t="n"/>
      <c r="AD47" s="71" t="n"/>
      <c r="AE47" s="210">
        <f>MIN(D47:AB47)</f>
        <v/>
      </c>
    </row>
    <row r="48">
      <c r="A48" s="315" t="n"/>
      <c r="B48" s="316" t="inlineStr">
        <is>
          <t>Other vegetables</t>
        </is>
      </c>
      <c r="C48" s="320" t="inlineStr">
        <is>
          <t>Cabbage</t>
        </is>
      </c>
      <c r="D48" s="209" t="n">
        <v>6000</v>
      </c>
      <c r="E48" s="209" t="n">
        <v>2000</v>
      </c>
      <c r="F48" s="209" t="n">
        <v>2000</v>
      </c>
      <c r="G48" s="209" t="n"/>
      <c r="H48" s="209" t="n"/>
      <c r="I48" s="209" t="n"/>
      <c r="J48" s="209" t="n"/>
      <c r="K48" s="209" t="n"/>
      <c r="L48" s="209" t="n"/>
      <c r="M48" s="209" t="n"/>
      <c r="N48" s="209" t="n"/>
      <c r="O48" s="209" t="n"/>
      <c r="P48" s="209" t="n"/>
      <c r="Q48" s="209" t="n"/>
      <c r="R48" s="209" t="n"/>
      <c r="S48" s="209" t="n"/>
      <c r="T48" s="209" t="n"/>
      <c r="U48" s="209" t="n"/>
      <c r="V48" s="209" t="n"/>
      <c r="W48" s="209" t="n"/>
      <c r="X48" s="209" t="n"/>
      <c r="Y48" s="209" t="n"/>
      <c r="Z48" s="209" t="n"/>
      <c r="AA48" s="209" t="n"/>
      <c r="AB48" s="209" t="n"/>
      <c r="AC48" s="71" t="n"/>
      <c r="AD48" s="71" t="n"/>
      <c r="AE48" s="210">
        <f>MIN(D48:AB48)</f>
        <v/>
      </c>
    </row>
    <row r="49">
      <c r="A49" s="315" t="n"/>
      <c r="B49" s="316" t="inlineStr">
        <is>
          <t>Fruits</t>
        </is>
      </c>
      <c r="C49" s="320" t="inlineStr">
        <is>
          <t>Water Melon</t>
        </is>
      </c>
      <c r="D49" s="209" t="n">
        <v>8000</v>
      </c>
      <c r="E49" s="209" t="n">
        <v>8000</v>
      </c>
      <c r="F49" s="209" t="n">
        <v>8000</v>
      </c>
      <c r="G49" s="209" t="n"/>
      <c r="H49" s="209" t="n"/>
      <c r="I49" s="209" t="n"/>
      <c r="J49" s="209" t="n"/>
      <c r="K49" s="209" t="n"/>
      <c r="L49" s="209" t="n"/>
      <c r="M49" s="209" t="n"/>
      <c r="N49" s="209" t="n"/>
      <c r="O49" s="209" t="n"/>
      <c r="P49" s="209" t="n"/>
      <c r="Q49" s="209" t="n"/>
      <c r="R49" s="209" t="n"/>
      <c r="S49" s="209" t="n"/>
      <c r="T49" s="209" t="n"/>
      <c r="U49" s="209" t="n"/>
      <c r="V49" s="209" t="n"/>
      <c r="W49" s="209" t="n"/>
      <c r="X49" s="209" t="n"/>
      <c r="Y49" s="209" t="n"/>
      <c r="Z49" s="209" t="n"/>
      <c r="AA49" s="209" t="n"/>
      <c r="AB49" s="209" t="n"/>
      <c r="AC49" s="71" t="n"/>
      <c r="AD49" s="71" t="n"/>
      <c r="AE49" s="210">
        <f>MIN(D49:AB49)</f>
        <v/>
      </c>
    </row>
    <row r="50">
      <c r="A50" s="315" t="n"/>
      <c r="B50" s="316" t="inlineStr">
        <is>
          <t>Fruits</t>
        </is>
      </c>
      <c r="C50" s="320" t="inlineStr">
        <is>
          <t>Mangoes</t>
        </is>
      </c>
      <c r="D50" s="209" t="n">
        <v>5000</v>
      </c>
      <c r="E50" s="209" t="n">
        <v>5000</v>
      </c>
      <c r="F50" s="209" t="n">
        <v>5000</v>
      </c>
      <c r="G50" s="209" t="n"/>
      <c r="H50" s="209" t="n"/>
      <c r="I50" s="209" t="n"/>
      <c r="J50" s="209" t="n"/>
      <c r="K50" s="209" t="n"/>
      <c r="L50" s="209" t="n"/>
      <c r="M50" s="209" t="n"/>
      <c r="N50" s="209" t="n"/>
      <c r="O50" s="209" t="n"/>
      <c r="P50" s="209" t="n"/>
      <c r="Q50" s="209" t="n"/>
      <c r="R50" s="209" t="n"/>
      <c r="S50" s="209" t="n"/>
      <c r="T50" s="209" t="n"/>
      <c r="U50" s="209" t="n"/>
      <c r="V50" s="209" t="n"/>
      <c r="W50" s="209" t="n"/>
      <c r="X50" s="209" t="n"/>
      <c r="Y50" s="209" t="n"/>
      <c r="Z50" s="209" t="n"/>
      <c r="AA50" s="209" t="n"/>
      <c r="AB50" s="209" t="n"/>
      <c r="AC50" s="71" t="n"/>
      <c r="AD50" s="71" t="n"/>
      <c r="AE50" s="210">
        <f>MIN(D50:AB50)</f>
        <v/>
      </c>
    </row>
    <row r="51">
      <c r="A51" s="315" t="n"/>
      <c r="B51" s="316" t="inlineStr">
        <is>
          <t>Fruits</t>
        </is>
      </c>
      <c r="C51" s="320" t="inlineStr">
        <is>
          <t>Bananas</t>
        </is>
      </c>
      <c r="D51" s="209" t="n">
        <v>1000</v>
      </c>
      <c r="E51" s="209" t="n">
        <v>2500</v>
      </c>
      <c r="F51" s="209" t="n">
        <v>2500</v>
      </c>
      <c r="G51" s="209" t="n">
        <v>3000</v>
      </c>
      <c r="H51" s="209" t="n">
        <v>3000</v>
      </c>
      <c r="I51" s="209" t="n">
        <v>6000</v>
      </c>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71" t="n"/>
      <c r="AD51" s="71" t="n"/>
      <c r="AE51" s="210">
        <f>MIN(D51:AB51)</f>
        <v/>
      </c>
    </row>
    <row r="52">
      <c r="A52" s="315" t="n"/>
      <c r="B52" s="316" t="inlineStr">
        <is>
          <t>Fruits</t>
        </is>
      </c>
      <c r="C52" s="320" t="inlineStr">
        <is>
          <t>Pine Apple</t>
        </is>
      </c>
      <c r="D52" s="209" t="n">
        <v>4000</v>
      </c>
      <c r="E52" s="209" t="n">
        <v>4000</v>
      </c>
      <c r="F52" s="209" t="n">
        <v>4000</v>
      </c>
      <c r="G52" s="209" t="n"/>
      <c r="H52" s="209" t="n"/>
      <c r="I52" s="209" t="n"/>
      <c r="J52" s="209" t="n"/>
      <c r="K52" s="209" t="n"/>
      <c r="L52" s="209" t="n"/>
      <c r="M52" s="209" t="n"/>
      <c r="N52" s="209" t="n"/>
      <c r="O52" s="209" t="n"/>
      <c r="P52" s="209" t="n"/>
      <c r="Q52" s="209" t="n"/>
      <c r="R52" s="209" t="n"/>
      <c r="S52" s="209" t="n"/>
      <c r="T52" s="209" t="n"/>
      <c r="U52" s="209" t="n"/>
      <c r="V52" s="209" t="n"/>
      <c r="W52" s="209" t="n"/>
      <c r="X52" s="209" t="n"/>
      <c r="Y52" s="209" t="n"/>
      <c r="Z52" s="209" t="n"/>
      <c r="AA52" s="209" t="n"/>
      <c r="AB52" s="209" t="n"/>
      <c r="AC52" s="71" t="n"/>
      <c r="AD52" s="71" t="n"/>
      <c r="AE52" s="210">
        <f>MIN(D52:AB52)</f>
        <v/>
      </c>
    </row>
    <row r="53">
      <c r="A53" s="315" t="n"/>
      <c r="B53" s="316" t="inlineStr">
        <is>
          <t>Oils &amp; Fats</t>
        </is>
      </c>
      <c r="C53" s="320" t="inlineStr">
        <is>
          <t>Cooking Oil</t>
        </is>
      </c>
      <c r="D53" s="209" t="n">
        <v>7000</v>
      </c>
      <c r="E53" s="209" t="n">
        <v>7000</v>
      </c>
      <c r="F53" s="209" t="n">
        <v>7000</v>
      </c>
      <c r="G53" s="209" t="n">
        <v>7000</v>
      </c>
      <c r="H53" s="209" t="n">
        <v>7000</v>
      </c>
      <c r="I53" s="209" t="n">
        <v>7000</v>
      </c>
      <c r="J53" s="209" t="n">
        <v>7000</v>
      </c>
      <c r="K53" s="209" t="n">
        <v>7000</v>
      </c>
      <c r="L53" s="209" t="n">
        <v>7400</v>
      </c>
      <c r="M53" s="209" t="n">
        <v>7500</v>
      </c>
      <c r="N53" s="209" t="n">
        <v>7600</v>
      </c>
      <c r="O53" s="209" t="n"/>
      <c r="P53" s="209" t="n"/>
      <c r="Q53" s="209" t="n"/>
      <c r="R53" s="209" t="n"/>
      <c r="S53" s="209" t="n"/>
      <c r="T53" s="209" t="n"/>
      <c r="U53" s="209" t="n"/>
      <c r="V53" s="209" t="n"/>
      <c r="W53" s="209" t="n"/>
      <c r="X53" s="209" t="n"/>
      <c r="Y53" s="209" t="n"/>
      <c r="Z53" s="209" t="n"/>
      <c r="AA53" s="209" t="n"/>
      <c r="AB53" s="209" t="n"/>
      <c r="AC53" s="71" t="n"/>
      <c r="AD53" s="71" t="n"/>
      <c r="AE53" s="210">
        <f>MIN(D53:AB53)</f>
        <v/>
      </c>
    </row>
    <row r="54">
      <c r="A54" s="315" t="n"/>
      <c r="B54" s="316" t="inlineStr">
        <is>
          <t>Oils &amp; Fats</t>
        </is>
      </c>
      <c r="C54" s="320" t="inlineStr">
        <is>
          <t>Cow Ghee</t>
        </is>
      </c>
      <c r="D54" s="209" t="n">
        <v>10000</v>
      </c>
      <c r="E54" s="209" t="n">
        <v>10000</v>
      </c>
      <c r="F54" s="209" t="n">
        <v>10000</v>
      </c>
      <c r="G54" s="209" t="n"/>
      <c r="H54" s="209" t="n"/>
      <c r="I54" s="209" t="n"/>
      <c r="J54" s="209" t="n"/>
      <c r="K54" s="209" t="n"/>
      <c r="L54" s="209" t="n"/>
      <c r="M54" s="209" t="n"/>
      <c r="N54" s="209" t="n"/>
      <c r="O54" s="209" t="n"/>
      <c r="P54" s="209" t="n"/>
      <c r="Q54" s="209" t="n"/>
      <c r="R54" s="209" t="n"/>
      <c r="S54" s="209" t="n"/>
      <c r="T54" s="209" t="n"/>
      <c r="U54" s="209" t="n"/>
      <c r="V54" s="209" t="n"/>
      <c r="W54" s="209" t="n"/>
      <c r="X54" s="209" t="n"/>
      <c r="Y54" s="209" t="n"/>
      <c r="Z54" s="209" t="n"/>
      <c r="AA54" s="209" t="n"/>
      <c r="AB54" s="209" t="n"/>
      <c r="AC54" s="71" t="n"/>
      <c r="AD54" s="71" t="n"/>
      <c r="AE54" s="210">
        <f>MIN(D54:AB54)</f>
        <v/>
      </c>
    </row>
    <row r="55">
      <c r="A55" s="315" t="n"/>
      <c r="B55" s="316" t="inlineStr">
        <is>
          <t>Oils &amp; Fats</t>
        </is>
      </c>
      <c r="C55" s="320" t="inlineStr">
        <is>
          <t>Processed Fats (Cowboy)</t>
        </is>
      </c>
      <c r="D55" s="209" t="n">
        <v>7000</v>
      </c>
      <c r="E55" s="209" t="n">
        <v>6000</v>
      </c>
      <c r="F55" s="209" t="n">
        <v>5000</v>
      </c>
      <c r="G55" s="209" t="n"/>
      <c r="H55" s="209" t="n"/>
      <c r="I55" s="209" t="n"/>
      <c r="J55" s="209" t="n"/>
      <c r="K55" s="209" t="n"/>
      <c r="L55" s="209" t="n"/>
      <c r="M55" s="209" t="n"/>
      <c r="N55" s="209" t="n"/>
      <c r="O55" s="209" t="n"/>
      <c r="P55" s="209" t="n"/>
      <c r="Q55" s="209" t="n"/>
      <c r="R55" s="209" t="n"/>
      <c r="S55" s="209" t="n"/>
      <c r="T55" s="209" t="n"/>
      <c r="U55" s="209" t="n"/>
      <c r="V55" s="209" t="n"/>
      <c r="W55" s="209" t="n"/>
      <c r="X55" s="209" t="n"/>
      <c r="Y55" s="209" t="n"/>
      <c r="Z55" s="209" t="n"/>
      <c r="AA55" s="209" t="n"/>
      <c r="AB55" s="209" t="n"/>
      <c r="AC55" s="71" t="n"/>
      <c r="AD55" s="71" t="n"/>
      <c r="AE55" s="210">
        <f>MIN(D55:AB55)</f>
        <v/>
      </c>
    </row>
    <row r="56">
      <c r="A56" s="315" t="n"/>
      <c r="B56" s="316" t="inlineStr">
        <is>
          <t>Nonalcoholic beverages</t>
        </is>
      </c>
      <c r="C56" s="320" t="inlineStr">
        <is>
          <t>soda</t>
        </is>
      </c>
      <c r="D56" s="209" t="n">
        <v>1000</v>
      </c>
      <c r="E56" s="209" t="n">
        <v>1000</v>
      </c>
      <c r="F56" s="209" t="n">
        <v>1000</v>
      </c>
      <c r="G56" s="209" t="n"/>
      <c r="H56" s="209" t="n"/>
      <c r="I56" s="209" t="n"/>
      <c r="J56" s="209" t="n"/>
      <c r="K56" s="209" t="n"/>
      <c r="L56" s="209" t="n"/>
      <c r="M56" s="209" t="n"/>
      <c r="N56" s="209" t="n"/>
      <c r="O56" s="209" t="n"/>
      <c r="P56" s="209" t="n"/>
      <c r="Q56" s="209" t="n"/>
      <c r="R56" s="209" t="n"/>
      <c r="S56" s="209" t="n"/>
      <c r="T56" s="209" t="n"/>
      <c r="U56" s="209" t="n"/>
      <c r="V56" s="209" t="n"/>
      <c r="W56" s="209" t="n"/>
      <c r="X56" s="209" t="n"/>
      <c r="Y56" s="209" t="n"/>
      <c r="Z56" s="209" t="n"/>
      <c r="AA56" s="209" t="n"/>
      <c r="AB56" s="209" t="n"/>
      <c r="AC56" s="71" t="n"/>
      <c r="AD56" s="71" t="n"/>
      <c r="AE56" s="210">
        <f>MIN(D56:AB56)</f>
        <v/>
      </c>
    </row>
    <row r="57">
      <c r="A57" s="315" t="n"/>
      <c r="B57" s="316" t="inlineStr">
        <is>
          <t>Nonalcoholic beverages</t>
        </is>
      </c>
      <c r="C57" s="320" t="inlineStr">
        <is>
          <t>soda</t>
        </is>
      </c>
      <c r="D57" s="209" t="n">
        <v>1000</v>
      </c>
      <c r="E57" s="209" t="n">
        <v>1000</v>
      </c>
      <c r="F57" s="209" t="n">
        <v>1000</v>
      </c>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71" t="n"/>
      <c r="AD57" s="71" t="n"/>
      <c r="AE57" s="210">
        <f>MIN(D57:AB57)</f>
        <v/>
      </c>
    </row>
    <row r="58">
      <c r="A58" s="315" t="n"/>
      <c r="B58" s="316" t="inlineStr">
        <is>
          <t>Nonalcoholic beverages</t>
        </is>
      </c>
      <c r="C58" s="320" t="inlineStr">
        <is>
          <t>soda</t>
        </is>
      </c>
      <c r="D58" s="209" t="n">
        <v>1000</v>
      </c>
      <c r="E58" s="209" t="n">
        <v>1000</v>
      </c>
      <c r="F58" s="209" t="n">
        <v>1000</v>
      </c>
      <c r="G58" s="209" t="n"/>
      <c r="H58" s="209" t="n"/>
      <c r="I58" s="209" t="n"/>
      <c r="J58" s="209" t="n"/>
      <c r="K58" s="209" t="n"/>
      <c r="L58" s="209" t="n"/>
      <c r="M58" s="209" t="n"/>
      <c r="N58" s="209" t="n"/>
      <c r="O58" s="209" t="n"/>
      <c r="P58" s="209" t="n"/>
      <c r="Q58" s="209" t="n"/>
      <c r="R58" s="209" t="n"/>
      <c r="S58" s="209" t="n"/>
      <c r="T58" s="209" t="n"/>
      <c r="U58" s="209" t="n"/>
      <c r="V58" s="209" t="n"/>
      <c r="W58" s="209" t="n"/>
      <c r="X58" s="209" t="n"/>
      <c r="Y58" s="209" t="n"/>
      <c r="Z58" s="209" t="n"/>
      <c r="AA58" s="209" t="n"/>
      <c r="AB58" s="209" t="n"/>
      <c r="AC58" s="71" t="n"/>
      <c r="AD58" s="71" t="n"/>
      <c r="AE58" s="210">
        <f>MIN(D58:AB58)</f>
        <v/>
      </c>
    </row>
    <row r="59">
      <c r="A59" s="315" t="n"/>
      <c r="B59" s="316" t="inlineStr">
        <is>
          <t>Other</t>
        </is>
      </c>
      <c r="C59" s="320" t="inlineStr">
        <is>
          <t>Banana Juice</t>
        </is>
      </c>
      <c r="D59" s="209" t="n">
        <v>5000</v>
      </c>
      <c r="E59" s="209" t="n">
        <v>5000</v>
      </c>
      <c r="F59" s="209" t="n">
        <v>5000</v>
      </c>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71" t="n"/>
      <c r="AD59" s="71" t="n"/>
      <c r="AE59" s="210">
        <f>MIN(D59:AB59)</f>
        <v/>
      </c>
    </row>
    <row r="60">
      <c r="A60" s="315" t="n"/>
      <c r="B60" s="316" t="inlineStr">
        <is>
          <t>Other</t>
        </is>
      </c>
      <c r="C60" s="320" t="inlineStr">
        <is>
          <t>Pine Apple Juice</t>
        </is>
      </c>
      <c r="D60" s="209" t="n">
        <v>500</v>
      </c>
      <c r="E60" s="209" t="n">
        <v>500</v>
      </c>
      <c r="F60" s="209" t="n">
        <v>500</v>
      </c>
      <c r="G60" s="209" t="n"/>
      <c r="H60" s="209" t="n"/>
      <c r="I60" s="209" t="n"/>
      <c r="J60" s="209" t="n"/>
      <c r="K60" s="209" t="n"/>
      <c r="L60" s="209" t="n"/>
      <c r="M60" s="209" t="n"/>
      <c r="N60" s="209" t="n"/>
      <c r="O60" s="209" t="n"/>
      <c r="P60" s="209" t="n"/>
      <c r="Q60" s="209" t="n"/>
      <c r="R60" s="209" t="n"/>
      <c r="S60" s="209" t="n"/>
      <c r="T60" s="209" t="n"/>
      <c r="U60" s="209" t="n"/>
      <c r="V60" s="209" t="n"/>
      <c r="W60" s="209" t="n"/>
      <c r="X60" s="209" t="n"/>
      <c r="Y60" s="209" t="n"/>
      <c r="Z60" s="209" t="n"/>
      <c r="AA60" s="209" t="n"/>
      <c r="AB60" s="209" t="n"/>
      <c r="AC60" s="71" t="n"/>
      <c r="AD60" s="71" t="n"/>
      <c r="AE60" s="210">
        <f>MIN(D60:AB60)</f>
        <v/>
      </c>
    </row>
    <row r="61">
      <c r="A61" s="315" t="n"/>
      <c r="B61" s="316" t="inlineStr">
        <is>
          <t>Other</t>
        </is>
      </c>
      <c r="C61" s="320" t="inlineStr">
        <is>
          <t>Non Alcoholic Kombucha</t>
        </is>
      </c>
      <c r="D61" s="209" t="n">
        <v>1000</v>
      </c>
      <c r="E61" s="209" t="n">
        <v>1500</v>
      </c>
      <c r="F61" s="209" t="n">
        <v>1000</v>
      </c>
      <c r="G61" s="209" t="n"/>
      <c r="H61" s="209" t="n"/>
      <c r="I61" s="209" t="n"/>
      <c r="J61" s="209" t="n"/>
      <c r="K61" s="209" t="n"/>
      <c r="L61" s="209" t="n"/>
      <c r="M61" s="209" t="n"/>
      <c r="N61" s="209" t="n"/>
      <c r="O61" s="209" t="n"/>
      <c r="P61" s="209" t="n"/>
      <c r="Q61" s="209" t="n"/>
      <c r="R61" s="209" t="n"/>
      <c r="S61" s="209" t="n"/>
      <c r="T61" s="209" t="n"/>
      <c r="U61" s="209" t="n"/>
      <c r="V61" s="209" t="n"/>
      <c r="W61" s="209" t="n"/>
      <c r="X61" s="209" t="n"/>
      <c r="Y61" s="209" t="n"/>
      <c r="Z61" s="209" t="n"/>
      <c r="AA61" s="209" t="n"/>
      <c r="AB61" s="209" t="n"/>
      <c r="AC61" s="71" t="n"/>
      <c r="AD61" s="71" t="n"/>
      <c r="AE61" s="210">
        <f>MIN(D61:AB61)</f>
        <v/>
      </c>
    </row>
    <row r="62">
      <c r="A62" s="315" t="n"/>
      <c r="B62" s="316" t="inlineStr">
        <is>
          <t>Other</t>
        </is>
      </c>
      <c r="C62" s="320" t="inlineStr">
        <is>
          <t>Non Alcoholic Kombucha</t>
        </is>
      </c>
      <c r="D62" s="209" t="n">
        <v>1000</v>
      </c>
      <c r="E62" s="209" t="n">
        <v>1500</v>
      </c>
      <c r="F62" s="209" t="n">
        <v>1000</v>
      </c>
      <c r="G62" s="209" t="n"/>
      <c r="H62" s="209" t="n"/>
      <c r="I62" s="209" t="n"/>
      <c r="J62" s="209" t="n"/>
      <c r="K62" s="209" t="n"/>
      <c r="L62" s="209" t="n"/>
      <c r="M62" s="209" t="n"/>
      <c r="N62" s="209" t="n"/>
      <c r="O62" s="209" t="n"/>
      <c r="P62" s="209" t="n"/>
      <c r="Q62" s="209" t="n"/>
      <c r="R62" s="209" t="n"/>
      <c r="S62" s="209" t="n"/>
      <c r="T62" s="209" t="n"/>
      <c r="U62" s="209" t="n"/>
      <c r="V62" s="209" t="n"/>
      <c r="W62" s="209" t="n"/>
      <c r="X62" s="209" t="n"/>
      <c r="Y62" s="209" t="n"/>
      <c r="Z62" s="209" t="n"/>
      <c r="AA62" s="209" t="n"/>
      <c r="AB62" s="209" t="n"/>
      <c r="AC62" s="71" t="n"/>
      <c r="AD62" s="71" t="n"/>
      <c r="AE62" s="210">
        <f>MIN(D62:AB62)</f>
        <v/>
      </c>
    </row>
    <row r="63">
      <c r="A63" s="315" t="n"/>
      <c r="B63" s="316" t="inlineStr">
        <is>
          <t>Other</t>
        </is>
      </c>
      <c r="C63" s="320" t="inlineStr">
        <is>
          <t>Non Alcoholic Kombucha</t>
        </is>
      </c>
      <c r="D63" s="209" t="n">
        <v>1000</v>
      </c>
      <c r="E63" s="209" t="n">
        <v>1500</v>
      </c>
      <c r="F63" s="209" t="n">
        <v>1000</v>
      </c>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71" t="n"/>
      <c r="AD63" s="71" t="n"/>
      <c r="AE63" s="210">
        <f>MIN(D63:AB63)</f>
        <v/>
      </c>
    </row>
    <row r="64">
      <c r="AD64" s="71" t="n"/>
      <c r="AE64" s="210" t="n"/>
    </row>
    <row r="65">
      <c r="AE65" s="210" t="n"/>
    </row>
    <row r="66">
      <c r="AE66" s="210" t="n"/>
    </row>
    <row r="67">
      <c r="AE67" s="210" t="n"/>
    </row>
    <row r="68">
      <c r="AE68" s="210" t="n"/>
    </row>
    <row r="69">
      <c r="AE69" s="210" t="n"/>
    </row>
    <row r="70">
      <c r="AE70" s="210" t="n"/>
    </row>
    <row r="71">
      <c r="AE71" s="210" t="n"/>
    </row>
    <row r="72">
      <c r="AE72" s="210" t="n"/>
    </row>
    <row r="73">
      <c r="AE73" s="210" t="n"/>
    </row>
    <row r="74">
      <c r="AE74" s="210" t="n"/>
    </row>
    <row r="75">
      <c r="AE75" s="210" t="n"/>
    </row>
    <row r="76">
      <c r="AE76" s="210" t="n"/>
    </row>
    <row r="77">
      <c r="AE77" s="210" t="n"/>
    </row>
    <row r="78">
      <c r="AE78" s="210" t="n"/>
    </row>
    <row r="79">
      <c r="AE79" s="210" t="n"/>
    </row>
    <row r="80">
      <c r="AE80" s="210" t="n"/>
    </row>
    <row r="81">
      <c r="AE81" s="210" t="n"/>
    </row>
    <row r="82">
      <c r="AE82" s="210" t="n"/>
    </row>
    <row r="83">
      <c r="AE83" s="210" t="n"/>
    </row>
    <row r="84">
      <c r="AE84" s="210" t="n"/>
    </row>
    <row r="85">
      <c r="AE85" s="210" t="n"/>
    </row>
    <row r="86">
      <c r="AE86" s="210" t="n"/>
    </row>
    <row r="87">
      <c r="AE87" s="210" t="n"/>
    </row>
    <row r="88">
      <c r="AE88" s="210" t="n"/>
    </row>
    <row r="89">
      <c r="AE89" s="210" t="n"/>
    </row>
    <row r="90">
      <c r="AE90" s="210" t="n"/>
    </row>
    <row r="91">
      <c r="AE91" s="210" t="n"/>
    </row>
    <row r="92">
      <c r="AE92" s="210" t="n"/>
    </row>
    <row r="93">
      <c r="AE93" s="210" t="n"/>
    </row>
    <row r="94">
      <c r="AE94" s="210" t="n"/>
    </row>
  </sheetData>
  <mergeCells count="5">
    <mergeCell ref="B6:C6"/>
    <mergeCell ref="AH9:AI9"/>
    <mergeCell ref="AE9:AG9"/>
    <mergeCell ref="AB5:AC6"/>
    <mergeCell ref="AF11:AI11"/>
  </mergeCells>
  <pageMargins left="0.7" right="0.7" top="0.75" bottom="0.75" header="0.3" footer="0.3"/>
  <pageSetup orientation="portrait"/>
  <drawing xmlns:r="http://schemas.openxmlformats.org/officeDocument/2006/relationships" r:id="rId1"/>
</worksheet>
</file>

<file path=xl/worksheets/sheet9.xml><?xml version="1.0" encoding="utf-8"?>
<worksheet xmlns="http://schemas.openxmlformats.org/spreadsheetml/2006/main">
  <sheetPr>
    <tabColor theme="7" tint="0.5999938962981048"/>
    <outlinePr summaryBelow="1" summaryRight="1"/>
    <pageSetUpPr/>
  </sheetPr>
  <dimension ref="A2:Y131"/>
  <sheetViews>
    <sheetView showGridLines="0" topLeftCell="A90" zoomScale="55" zoomScaleNormal="100" workbookViewId="0">
      <selection activeCell="E121" sqref="E121"/>
    </sheetView>
  </sheetViews>
  <sheetFormatPr baseColWidth="10" defaultColWidth="8.83203125" defaultRowHeight="15"/>
  <cols>
    <col width="3" customWidth="1" style="22" min="1" max="1"/>
    <col width="3.1640625" customWidth="1" style="22" min="2" max="2"/>
    <col width="38.5" customWidth="1" style="22" min="3" max="3"/>
    <col width="14.83203125" customWidth="1" style="22" min="4" max="5"/>
    <col width="15.6640625" customWidth="1" style="22" min="6" max="9"/>
    <col width="18.83203125" customWidth="1" style="22" min="10" max="10"/>
    <col width="13.1640625" customWidth="1" style="22" min="11" max="11"/>
    <col width="8.83203125" customWidth="1" style="22" min="12" max="22"/>
    <col width="17.83203125" customWidth="1" style="22" min="23" max="23"/>
    <col width="22.1640625" customWidth="1" style="22" min="24" max="24"/>
    <col width="8.83203125" customWidth="1" style="22" min="25" max="16384"/>
  </cols>
  <sheetData>
    <row r="2" ht="62" customHeight="1">
      <c r="A2" s="131" t="inlineStr">
        <is>
          <t>Estimating food costs</t>
        </is>
      </c>
      <c r="B2" s="132" t="n"/>
    </row>
    <row r="4" ht="21" customHeight="1">
      <c r="B4" s="155" t="inlineStr">
        <is>
          <t>Guidance</t>
        </is>
      </c>
    </row>
    <row r="5" ht="102" customHeight="1">
      <c r="B5" s="424" t="inlineStr">
        <is>
          <t>In the tab, the user must provide nutrition-related information that is needed to estimate the food for a low-cost nutritious diet.
Section 1A: In this section the user must provide basic information needed to calculate the Energy Consumption target for an adult male (daily calorie intake)
Section 1B: In this section you will need to provide nutritional information regarding the food items included in the study
Section 1C: In this section you will insert the quantity of food to be consumed in the model diet for each of the food items (instructions and suggestions are provided in the section)
IMPORTANT: . Do not add any new row in this tab. The food items in Column D will be automatically inserted based on the input provided in the previous tab</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row>
    <row r="7" ht="21" customHeight="1">
      <c r="B7" s="126" t="inlineStr">
        <is>
          <t>1A) Calculate the energy consumption requirement</t>
        </is>
      </c>
      <c r="C7" s="28" t="n"/>
      <c r="D7" s="28" t="n"/>
      <c r="E7" s="29" t="n"/>
      <c r="F7" s="29" t="n"/>
      <c r="G7" s="29" t="n"/>
      <c r="H7" s="29" t="n"/>
      <c r="I7" s="29" t="n"/>
      <c r="J7" s="29" t="n"/>
      <c r="K7" s="29" t="n"/>
      <c r="L7" s="29" t="n"/>
      <c r="M7" s="29" t="n"/>
      <c r="N7" s="29" t="n"/>
      <c r="O7" s="29" t="n"/>
      <c r="P7" s="29" t="n"/>
      <c r="Q7" s="29" t="n"/>
      <c r="R7" s="29" t="n"/>
      <c r="S7" s="29" t="n"/>
      <c r="T7" s="29" t="n"/>
      <c r="U7" s="29" t="n"/>
      <c r="V7" s="29" t="n"/>
      <c r="W7" s="29" t="n"/>
      <c r="X7" s="29" t="n"/>
    </row>
    <row r="8" ht="16" customHeight="1" thickBot="1"/>
    <row r="9" ht="24" customHeight="1">
      <c r="B9" s="156" t="n"/>
      <c r="C9" s="157" t="inlineStr">
        <is>
          <t>ENERGY CONSUMPTION TARGET</t>
        </is>
      </c>
      <c r="D9" s="158" t="n"/>
      <c r="E9" s="158" t="n"/>
      <c r="F9" s="158" t="n"/>
      <c r="G9" s="158" t="n"/>
      <c r="H9" s="158" t="n"/>
      <c r="I9" s="159" t="n"/>
      <c r="K9" s="147" t="inlineStr">
        <is>
          <t>Source</t>
        </is>
      </c>
      <c r="L9" s="160" t="inlineStr">
        <is>
          <t>Instructions</t>
        </is>
      </c>
      <c r="M9" s="160" t="n"/>
      <c r="N9" s="160" t="n"/>
      <c r="O9" s="160" t="n"/>
      <c r="P9" s="160" t="n"/>
      <c r="Q9" s="160" t="n"/>
      <c r="R9" s="160" t="n"/>
      <c r="S9" s="160" t="n"/>
      <c r="T9" s="160" t="n"/>
      <c r="U9" s="160" t="n"/>
      <c r="V9" s="160" t="n"/>
      <c r="W9" s="160" t="n"/>
      <c r="X9" s="160" t="n"/>
    </row>
    <row r="10">
      <c r="B10" s="139" t="n"/>
      <c r="I10" s="140" t="n"/>
    </row>
    <row r="11">
      <c r="B11" s="139" t="n"/>
      <c r="E11" s="50" t="inlineStr">
        <is>
          <t>Male</t>
        </is>
      </c>
      <c r="G11" s="50" t="inlineStr">
        <is>
          <t>Female</t>
        </is>
      </c>
      <c r="I11" s="140" t="n"/>
    </row>
    <row r="12" ht="81.75" customHeight="1">
      <c r="B12" s="139" t="n"/>
      <c r="C12" s="65" t="inlineStr">
        <is>
          <t>Average height (meters)</t>
        </is>
      </c>
      <c r="E12" s="331" t="n">
        <v>1.6</v>
      </c>
      <c r="G12" s="161" t="n">
        <v>1.5</v>
      </c>
      <c r="I12" s="140" t="n"/>
      <c r="K12" s="162" t="inlineStr">
        <is>
          <t>LINK</t>
        </is>
      </c>
      <c r="L12" s="425" t="inlineStr">
        <is>
          <t>"- Go to the link provided on the left. Under the section "Height surveys and studies" click "[show]" in the header row of the table and a list of average heights will appear. If available, gather the average male height for the country of study. If the average male height is not available, then collect the average female height.
 - In case the country is not listed in the source provided in cell K12, gather the average male height for the macro-region of the country of study from this link (section "Heights by continents")--&gt; https://www.worlddata.info/average-bodyheight.php</t>
        </is>
      </c>
      <c r="M12" s="22" t="n"/>
      <c r="N12" s="22" t="n"/>
      <c r="O12" s="22" t="n"/>
      <c r="P12" s="22" t="n"/>
      <c r="Q12" s="22" t="n"/>
      <c r="R12" s="22" t="n"/>
      <c r="S12" s="22" t="n"/>
      <c r="T12" s="22" t="n"/>
      <c r="U12" s="22" t="n"/>
      <c r="V12" s="22" t="n"/>
      <c r="W12" s="22" t="n"/>
      <c r="X12" s="22" t="n"/>
    </row>
    <row r="13">
      <c r="B13" s="139" t="n"/>
      <c r="C13" s="163" t="n"/>
      <c r="I13" s="140" t="n"/>
    </row>
    <row r="14">
      <c r="B14" s="139" t="n"/>
      <c r="C14" s="22" t="inlineStr">
        <is>
          <t>Activity Level (of adult male)</t>
        </is>
      </c>
      <c r="E14" s="154" t="inlineStr">
        <is>
          <t>Moderate</t>
        </is>
      </c>
      <c r="I14" s="140" t="n"/>
      <c r="L14" s="164" t="inlineStr">
        <is>
          <t xml:space="preserve">Select the activity level for the adult male. Select "sedentary" for office-type jobs and "vigorous" for agricultural or heavy-type of work. </t>
        </is>
      </c>
      <c r="M14" s="165" t="n"/>
      <c r="N14" s="165" t="n"/>
      <c r="O14" s="165" t="n"/>
      <c r="P14" s="165" t="n"/>
      <c r="Q14" s="165" t="n"/>
      <c r="R14" s="165" t="n"/>
      <c r="S14" s="165" t="n"/>
      <c r="T14" s="165" t="n"/>
      <c r="U14" s="165" t="n"/>
      <c r="V14" s="165" t="n"/>
      <c r="W14" s="165" t="n"/>
      <c r="X14" s="165" t="n"/>
    </row>
    <row r="15">
      <c r="B15" s="139" t="n"/>
      <c r="C15" s="60" t="n"/>
      <c r="D15" s="184" t="n"/>
      <c r="I15" s="140" t="n"/>
    </row>
    <row r="16" ht="19" customHeight="1">
      <c r="B16" s="139" t="n"/>
      <c r="C16" s="167" t="inlineStr">
        <is>
          <t>Energy Consumption Target</t>
        </is>
      </c>
      <c r="D16" s="168" t="inlineStr">
        <is>
          <t>kcal/day</t>
        </is>
      </c>
      <c r="E16" s="484">
        <f>_xlfn.IFNA(HLOOKUP(E14,'Background calculations'!$E$124:$G$128,5,FALSE),"")</f>
        <v/>
      </c>
      <c r="I16" s="140" t="n"/>
    </row>
    <row r="17" ht="16" customHeight="1" thickBot="1">
      <c r="B17" s="142" t="n"/>
      <c r="C17" s="143" t="n"/>
      <c r="D17" s="143" t="n"/>
      <c r="E17" s="143" t="n"/>
      <c r="F17" s="143" t="n"/>
      <c r="G17" s="143" t="n"/>
      <c r="H17" s="143" t="n"/>
      <c r="I17" s="145" t="n"/>
    </row>
    <row r="19" ht="21" customHeight="1">
      <c r="B19" s="126" t="inlineStr">
        <is>
          <t>1B) Nutritional value of food</t>
        </is>
      </c>
      <c r="C19" s="28" t="n"/>
      <c r="D19" s="28"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row>
    <row r="20">
      <c r="B20" s="60" t="n"/>
    </row>
    <row r="21" ht="21" customHeight="1">
      <c r="B21" s="155" t="inlineStr">
        <is>
          <t>Guidance</t>
        </is>
      </c>
    </row>
    <row r="22" ht="113.5" customHeight="1">
      <c r="B22" s="170" t="n"/>
      <c r="C22" s="424" t="inlineStr">
        <is>
          <t>In the table below (rows 30-66), the user must add the nutritional value of the different food items. The model requires the user to add the protein content, fat content, carbohydrate content and edible portion of each food item. The protein/fat/carbohydrate contents are provided in number of grams per 100 gram of food item. If the source provides the protein/fat/carbohydrate content in %, then you need to translate it to grams (e.g. 7% of fat content is 7 grams)
To retrieve this information: Nutritional information can be found in the USDA data base (link provided below). For specific regional food items, go to the FAO info-food section and select the relevant region. Food content might vary per country. It is recommended that you collect nutritional values that are contry-specific. However, if that is not possible or if they are not available, it is ok to use nutritrional information gathered in previous studies for the same food items.
IMPORTANT: Do not add any additional rows, nor columns or food items in the table below.  The food items displayed below are automatically picked from the "Food costs - Input data" tab.</t>
        </is>
      </c>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row>
    <row r="23">
      <c r="B23" s="170" t="n"/>
      <c r="C23" s="171" t="inlineStr">
        <is>
          <t>Sources to retrieve nutritional information:</t>
        </is>
      </c>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row>
    <row r="24">
      <c r="B24" s="170" t="n"/>
      <c r="C24" s="172" t="inlineStr">
        <is>
          <t>https://reedir.arsnet.usda.gov/codesearchwebapp/(S(quhg4cjj0v0s2mbsualpdgns))/codesearch.aspx</t>
        </is>
      </c>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row>
    <row r="25">
      <c r="B25" s="45" t="n"/>
      <c r="C25" s="172" t="inlineStr">
        <is>
          <t>http://www.fao.org/infoods/infoods/tables-and-databases/africa/en/</t>
        </is>
      </c>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row>
    <row r="26">
      <c r="B26" s="45" t="n"/>
      <c r="C26" s="236"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row>
    <row r="27" ht="16" customHeight="1" thickBot="1">
      <c r="B27" s="60" t="n"/>
    </row>
    <row r="28">
      <c r="B28" s="174" t="n"/>
      <c r="C28" s="175" t="n"/>
      <c r="D28" s="175" t="n"/>
      <c r="E28" s="175" t="n"/>
      <c r="F28" s="175" t="n"/>
      <c r="G28" s="175" t="n"/>
      <c r="H28" s="175" t="n"/>
      <c r="I28" s="176" t="n"/>
      <c r="J28" s="184" t="n"/>
    </row>
    <row r="29" ht="16" customHeight="1">
      <c r="B29" s="177" t="n"/>
      <c r="C29" s="148" t="inlineStr">
        <is>
          <t>Category</t>
        </is>
      </c>
      <c r="D29" s="148" t="inlineStr">
        <is>
          <t>Item</t>
        </is>
      </c>
      <c r="E29" s="178" t="inlineStr">
        <is>
          <t>Protein (g)</t>
        </is>
      </c>
      <c r="F29" s="178" t="inlineStr">
        <is>
          <t>Fat, total (g)</t>
        </is>
      </c>
      <c r="G29" s="178" t="inlineStr">
        <is>
          <t>Carbohydrate (g)</t>
        </is>
      </c>
      <c r="H29" s="178" t="inlineStr">
        <is>
          <t>Edible portion</t>
        </is>
      </c>
      <c r="I29" s="140" t="n"/>
    </row>
    <row r="30">
      <c r="B30" s="177" t="n"/>
      <c r="C30" s="22">
        <f>'Food costs - Input data'!B11</f>
        <v/>
      </c>
      <c r="D30" s="22">
        <f>IF('Food costs - Input data'!C11="","",'Food costs - Input data'!C11)</f>
        <v/>
      </c>
      <c r="E30" s="179" t="n">
        <v>7.1</v>
      </c>
      <c r="F30" s="179" t="n">
        <v>0.6</v>
      </c>
      <c r="G30" s="179" t="n">
        <v>78.2</v>
      </c>
      <c r="H30" s="179" t="n">
        <v>0.2</v>
      </c>
      <c r="I30" s="140" t="n"/>
      <c r="K30" s="184" t="n"/>
    </row>
    <row r="31">
      <c r="B31" s="177" t="n"/>
      <c r="C31" s="22">
        <f>'Food costs - Input data'!B12</f>
        <v/>
      </c>
      <c r="D31" s="22">
        <f>IF('Food costs - Input data'!C12="","",'Food costs - Input data'!C12)</f>
        <v/>
      </c>
      <c r="E31" s="179" t="n">
        <v>7.1</v>
      </c>
      <c r="F31" s="179" t="n">
        <v>0.6</v>
      </c>
      <c r="G31" s="179" t="n">
        <v>78.2</v>
      </c>
      <c r="H31" s="179" t="n">
        <v>1</v>
      </c>
      <c r="I31" s="140" t="n"/>
    </row>
    <row r="32">
      <c r="B32" s="177" t="n"/>
      <c r="C32" s="22">
        <f>'Food costs - Input data'!B13</f>
        <v/>
      </c>
      <c r="D32" s="22">
        <f>IF('Food costs - Input data'!C13="","",'Food costs - Input data'!C13)</f>
        <v/>
      </c>
      <c r="E32" s="485" t="n">
        <v>7.1</v>
      </c>
      <c r="F32" s="485" t="n">
        <v>0.6</v>
      </c>
      <c r="G32" s="485" t="n">
        <v>78.2</v>
      </c>
      <c r="H32" s="179" t="n">
        <v>1</v>
      </c>
      <c r="I32" s="140" t="n"/>
    </row>
    <row r="33">
      <c r="B33" s="177" t="n"/>
      <c r="C33" s="22">
        <f>'Food costs - Input data'!B14</f>
        <v/>
      </c>
      <c r="D33" s="22">
        <f>IF('Food costs - Input data'!C14="","",'Food costs - Input data'!C14)</f>
        <v/>
      </c>
      <c r="E33" s="179" t="n">
        <v>7.1</v>
      </c>
      <c r="F33" s="179" t="n">
        <v>0.6</v>
      </c>
      <c r="G33" s="179" t="n">
        <v>78.2</v>
      </c>
      <c r="H33" s="179" t="n">
        <v>1</v>
      </c>
      <c r="I33" s="140" t="n"/>
    </row>
    <row r="34">
      <c r="B34" s="177" t="n"/>
      <c r="C34" s="22">
        <f>'Food costs - Input data'!B15</f>
        <v/>
      </c>
      <c r="D34" s="22">
        <f>IF('Food costs - Input data'!C15="","",'Food costs - Input data'!C15)</f>
        <v/>
      </c>
      <c r="E34" s="179" t="n">
        <v>8.5</v>
      </c>
      <c r="F34" s="179" t="n">
        <v>3.3</v>
      </c>
      <c r="G34" s="179" t="n">
        <v>49</v>
      </c>
      <c r="H34" s="179" t="n">
        <v>1</v>
      </c>
      <c r="I34" s="140" t="n"/>
    </row>
    <row r="35">
      <c r="B35" s="177" t="n"/>
      <c r="C35" s="22">
        <f>'Food costs - Input data'!B16</f>
        <v/>
      </c>
      <c r="D35" s="22">
        <f>IF('Food costs - Input data'!C16="","",'Food costs - Input data'!C16)</f>
        <v/>
      </c>
      <c r="E35" s="179" t="n">
        <v>9</v>
      </c>
      <c r="F35" s="179" t="n">
        <v>12</v>
      </c>
      <c r="G35" s="179" t="n">
        <v>45</v>
      </c>
      <c r="H35" s="179" t="n">
        <v>1</v>
      </c>
      <c r="I35" s="140" t="n"/>
    </row>
    <row r="36">
      <c r="B36" s="177" t="n"/>
      <c r="C36" s="22">
        <f>'Food costs - Input data'!B17</f>
        <v/>
      </c>
      <c r="D36" s="22">
        <f>IF('Food costs - Input data'!C17="","",'Food costs - Input data'!C17)</f>
        <v/>
      </c>
      <c r="E36" s="179" t="n">
        <v>5</v>
      </c>
      <c r="F36" s="179" t="n">
        <v>25</v>
      </c>
      <c r="G36" s="179" t="n">
        <v>51</v>
      </c>
      <c r="H36" s="179" t="n">
        <v>1</v>
      </c>
      <c r="I36" s="140" t="n"/>
    </row>
    <row r="37">
      <c r="B37" s="177" t="n"/>
      <c r="C37" s="22">
        <f>'Food costs - Input data'!B18</f>
        <v/>
      </c>
      <c r="D37" s="22">
        <f>IF('Food costs - Input data'!C18="","",'Food costs - Input data'!C18)</f>
        <v/>
      </c>
      <c r="E37" s="179" t="n">
        <v>1.4</v>
      </c>
      <c r="F37" s="179" t="n">
        <v>0.3</v>
      </c>
      <c r="G37" s="179" t="n">
        <v>38.1</v>
      </c>
      <c r="H37" s="179" t="n">
        <v>0.8</v>
      </c>
      <c r="I37" s="140" t="n"/>
    </row>
    <row r="38">
      <c r="B38" s="177" t="n"/>
      <c r="C38" s="22">
        <f>'Food costs - Input data'!B19</f>
        <v/>
      </c>
      <c r="D38" s="22">
        <f>IF('Food costs - Input data'!C19="","",'Food costs - Input data'!C19)</f>
        <v/>
      </c>
      <c r="E38" s="179" t="n">
        <v>2</v>
      </c>
      <c r="F38" s="179" t="n">
        <v>0.1</v>
      </c>
      <c r="G38" s="179" t="n">
        <v>17</v>
      </c>
      <c r="H38" s="179" t="n">
        <v>0.8</v>
      </c>
      <c r="I38" s="140" t="n"/>
    </row>
    <row r="39">
      <c r="B39" s="177" t="n"/>
      <c r="C39" s="22">
        <f>'Food costs - Input data'!B20</f>
        <v/>
      </c>
      <c r="D39" s="22">
        <f>IF('Food costs - Input data'!C20="","",'Food costs - Input data'!C20)</f>
        <v/>
      </c>
      <c r="E39" s="179" t="n">
        <v>1.5</v>
      </c>
      <c r="F39" s="179" t="n">
        <v>0.2</v>
      </c>
      <c r="G39" s="179" t="n">
        <v>27</v>
      </c>
      <c r="H39" s="179" t="n">
        <v>0.8</v>
      </c>
      <c r="I39" s="140" t="n"/>
    </row>
    <row r="40">
      <c r="B40" s="177" t="n"/>
      <c r="C40" s="22">
        <f>'Food costs - Input data'!B21</f>
        <v/>
      </c>
      <c r="D40" s="22">
        <f>IF('Food costs - Input data'!C21="","",'Food costs - Input data'!C21)</f>
        <v/>
      </c>
      <c r="E40" s="485" t="n">
        <v>1</v>
      </c>
      <c r="F40" s="485" t="n">
        <v>0.1</v>
      </c>
      <c r="G40" s="485" t="n">
        <v>7</v>
      </c>
      <c r="H40" s="179" t="n">
        <v>0.8</v>
      </c>
      <c r="I40" s="140" t="n"/>
    </row>
    <row r="41">
      <c r="B41" s="177" t="n"/>
      <c r="C41" s="22">
        <f>'Food costs - Input data'!B22</f>
        <v/>
      </c>
      <c r="D41" s="22">
        <f>IF('Food costs - Input data'!C22="","",'Food costs - Input data'!C22)</f>
        <v/>
      </c>
      <c r="E41" s="363" t="n">
        <v>0.9</v>
      </c>
      <c r="F41" s="363" t="n">
        <v>0.2</v>
      </c>
      <c r="G41" s="363" t="n">
        <v>10</v>
      </c>
      <c r="H41" s="179" t="n">
        <v>0.8</v>
      </c>
      <c r="I41" s="140" t="n"/>
    </row>
    <row r="42">
      <c r="B42" s="177" t="n"/>
      <c r="C42" s="22">
        <f>'Food costs - Input data'!B23</f>
        <v/>
      </c>
      <c r="D42" s="22">
        <f>IF('Food costs - Input data'!C23="","",'Food costs - Input data'!C23)</f>
        <v/>
      </c>
      <c r="E42" s="363" t="n">
        <v>1</v>
      </c>
      <c r="F42" s="363" t="n">
        <v>0.3</v>
      </c>
      <c r="G42" s="363" t="n">
        <v>6</v>
      </c>
      <c r="H42" s="179" t="n">
        <v>0.8</v>
      </c>
      <c r="I42" s="140" t="n"/>
    </row>
    <row r="43">
      <c r="B43" s="177" t="n"/>
      <c r="C43" s="22">
        <f>'Food costs - Input data'!B24</f>
        <v/>
      </c>
      <c r="D43" s="22">
        <f>IF('Food costs - Input data'!C24="","",'Food costs - Input data'!C24)</f>
        <v/>
      </c>
      <c r="E43" s="363" t="n">
        <v>25.8</v>
      </c>
      <c r="F43" s="363" t="n">
        <v>49.2</v>
      </c>
      <c r="G43" s="363" t="n">
        <v>16.1</v>
      </c>
      <c r="H43" s="179" t="n">
        <v>0.8</v>
      </c>
      <c r="I43" s="140" t="n"/>
    </row>
    <row r="44">
      <c r="B44" s="177" t="n"/>
      <c r="C44" s="22">
        <f>'Food costs - Input data'!B25</f>
        <v/>
      </c>
      <c r="D44" s="22">
        <f>IF('Food costs - Input data'!C25="","",'Food costs - Input data'!C25)</f>
        <v/>
      </c>
      <c r="E44" s="363" t="n">
        <v>2.4</v>
      </c>
      <c r="F44" s="363" t="n">
        <v>0.2</v>
      </c>
      <c r="G44" s="363" t="n">
        <v>7</v>
      </c>
      <c r="H44" s="179" t="n">
        <v>0.8</v>
      </c>
      <c r="I44" s="140" t="n"/>
    </row>
    <row r="45">
      <c r="B45" s="177" t="n"/>
      <c r="C45" s="22">
        <f>'Food costs - Input data'!B26</f>
        <v/>
      </c>
      <c r="D45" s="22">
        <f>IF('Food costs - Input data'!C26="","",'Food costs - Input data'!C26)</f>
        <v/>
      </c>
      <c r="E45" s="179" t="n">
        <v>5</v>
      </c>
      <c r="F45" s="179" t="n">
        <v>0.4</v>
      </c>
      <c r="G45" s="179" t="n">
        <v>14</v>
      </c>
      <c r="H45" s="179" t="n">
        <v>0.8</v>
      </c>
      <c r="I45" s="140" t="n"/>
    </row>
    <row r="46">
      <c r="B46" s="177" t="n"/>
      <c r="C46" s="22">
        <f>'Food costs - Input data'!B27</f>
        <v/>
      </c>
      <c r="D46" s="22">
        <f>IF('Food costs - Input data'!C27="","",'Food costs - Input data'!C27)</f>
        <v/>
      </c>
      <c r="E46" s="179" t="n">
        <v>36.5</v>
      </c>
      <c r="F46" s="179" t="n">
        <v>20</v>
      </c>
      <c r="G46" s="179" t="n">
        <v>30</v>
      </c>
      <c r="H46" s="179" t="n">
        <v>0.8</v>
      </c>
      <c r="I46" s="140" t="n"/>
    </row>
    <row r="47">
      <c r="B47" s="177" t="n"/>
      <c r="C47" s="22">
        <f>'Food costs - Input data'!B28</f>
        <v/>
      </c>
      <c r="D47" s="22">
        <f>IF('Food costs - Input data'!C28="","",'Food costs - Input data'!C28)</f>
        <v/>
      </c>
      <c r="E47" s="179" t="n">
        <v>21</v>
      </c>
      <c r="F47" s="179" t="n">
        <v>1.2</v>
      </c>
      <c r="G47" s="179" t="n">
        <v>63</v>
      </c>
      <c r="H47" s="179" t="n">
        <v>0.8</v>
      </c>
      <c r="I47" s="140" t="n"/>
      <c r="K47" s="184" t="n"/>
    </row>
    <row r="48">
      <c r="B48" s="177" t="n"/>
      <c r="C48" s="22">
        <f>'Food costs - Input data'!B29</f>
        <v/>
      </c>
      <c r="D48" s="22">
        <f>IF('Food costs - Input data'!C29="","",'Food costs - Input data'!C29)</f>
        <v/>
      </c>
      <c r="E48" s="179" t="n">
        <v>3.3</v>
      </c>
      <c r="F48" s="179" t="n">
        <v>3.4</v>
      </c>
      <c r="G48" s="179" t="n">
        <v>5</v>
      </c>
      <c r="H48" s="179" t="n">
        <v>1</v>
      </c>
      <c r="I48" s="140" t="n"/>
    </row>
    <row r="49">
      <c r="B49" s="177" t="n"/>
      <c r="C49" s="22">
        <f>'Food costs - Input data'!B30</f>
        <v/>
      </c>
      <c r="D49" s="22">
        <f>IF('Food costs - Input data'!C30="","",'Food costs - Input data'!C30)</f>
        <v/>
      </c>
      <c r="E49" s="179" t="n">
        <v>3.5</v>
      </c>
      <c r="F49" s="179" t="n">
        <v>3.3</v>
      </c>
      <c r="G49" s="179" t="n">
        <v>4.7</v>
      </c>
      <c r="H49" s="179" t="n">
        <v>0.9</v>
      </c>
      <c r="I49" s="140" t="n"/>
    </row>
    <row r="50">
      <c r="B50" s="177" t="n"/>
      <c r="C50" s="22">
        <f>'Food costs - Input data'!B31</f>
        <v/>
      </c>
      <c r="D50" s="22">
        <f>IF('Food costs - Input data'!C31="","",'Food costs - Input data'!C31)</f>
        <v/>
      </c>
      <c r="E50" s="179" t="n">
        <v>0.9</v>
      </c>
      <c r="F50" s="179" t="n">
        <v>81</v>
      </c>
      <c r="G50" s="179" t="n">
        <v>0.1</v>
      </c>
      <c r="H50" s="179" t="n">
        <v>0.9</v>
      </c>
      <c r="I50" s="140" t="n"/>
      <c r="K50" s="184" t="n"/>
    </row>
    <row r="51">
      <c r="B51" s="177" t="n"/>
      <c r="C51" s="22">
        <f>'Food costs - Input data'!B32</f>
        <v/>
      </c>
      <c r="D51" s="22">
        <f>IF('Food costs - Input data'!C32="","",'Food costs - Input data'!C32)</f>
        <v/>
      </c>
      <c r="E51" s="179" t="n">
        <v>13</v>
      </c>
      <c r="F51" s="179" t="n">
        <v>11</v>
      </c>
      <c r="G51" s="179" t="n">
        <v>1.1</v>
      </c>
      <c r="H51" s="179" t="n">
        <v>0.9</v>
      </c>
      <c r="I51" s="364" t="n"/>
    </row>
    <row r="52">
      <c r="B52" s="177" t="n"/>
      <c r="C52" s="22">
        <f>'Food costs - Input data'!B33</f>
        <v/>
      </c>
      <c r="D52" s="22">
        <f>IF('Food costs - Input data'!C33="","",'Food costs - Input data'!C33)</f>
        <v/>
      </c>
      <c r="E52" s="485" t="n">
        <v>13</v>
      </c>
      <c r="F52" s="485" t="n">
        <v>11</v>
      </c>
      <c r="G52" s="485" t="n">
        <v>1.1</v>
      </c>
      <c r="H52" s="179" t="n">
        <v>0.9</v>
      </c>
      <c r="I52" s="140" t="n"/>
    </row>
    <row r="53">
      <c r="B53" s="177" t="n"/>
      <c r="C53" s="22">
        <f>'Food costs - Input data'!B34</f>
        <v/>
      </c>
      <c r="D53" s="22">
        <f>IF('Food costs - Input data'!C34="","",'Food costs - Input data'!C34)</f>
        <v/>
      </c>
      <c r="E53" s="179" t="n">
        <v>13</v>
      </c>
      <c r="F53" s="179" t="n">
        <v>11</v>
      </c>
      <c r="G53" s="179" t="n">
        <v>1.1</v>
      </c>
      <c r="H53" s="179" t="n">
        <v>0.6</v>
      </c>
      <c r="I53" s="140" t="n"/>
    </row>
    <row r="54">
      <c r="B54" s="177" t="n"/>
      <c r="C54" s="22">
        <f>'Food costs - Input data'!B35</f>
        <v/>
      </c>
      <c r="D54" s="22">
        <f>IF('Food costs - Input data'!C35="","",'Food costs - Input data'!C35)</f>
        <v/>
      </c>
      <c r="E54" s="485" t="n">
        <v>27</v>
      </c>
      <c r="F54" s="485" t="n">
        <v>14</v>
      </c>
      <c r="G54" s="485" t="n">
        <v>0</v>
      </c>
      <c r="H54" s="179" t="n">
        <v>0.6</v>
      </c>
      <c r="I54" s="140" t="n"/>
    </row>
    <row r="55">
      <c r="B55" s="177" t="n"/>
      <c r="C55" s="22">
        <f>'Food costs - Input data'!B36</f>
        <v/>
      </c>
      <c r="D55" s="22">
        <f>IF('Food costs - Input data'!C36="","",'Food costs - Input data'!C36)</f>
        <v/>
      </c>
      <c r="E55" s="485" t="n">
        <v>26</v>
      </c>
      <c r="F55" s="485" t="n">
        <v>15</v>
      </c>
      <c r="G55" s="485" t="n">
        <v>0</v>
      </c>
      <c r="H55" s="179" t="n">
        <v>0.6</v>
      </c>
      <c r="I55" s="140" t="n"/>
    </row>
    <row r="56">
      <c r="B56" s="177" t="n"/>
      <c r="C56" s="22">
        <f>'Food costs - Input data'!B37</f>
        <v/>
      </c>
      <c r="D56" s="22">
        <f>IF('Food costs - Input data'!C37="","",'Food costs - Input data'!C37)</f>
        <v/>
      </c>
      <c r="E56" s="485" t="n">
        <v>27</v>
      </c>
      <c r="F56" s="485" t="n">
        <v>3</v>
      </c>
      <c r="G56" s="485" t="n">
        <v>0</v>
      </c>
      <c r="H56" s="179" t="n">
        <v>0.6</v>
      </c>
      <c r="I56" s="140" t="n"/>
      <c r="K56" s="184" t="n"/>
    </row>
    <row r="57">
      <c r="B57" s="177" t="n"/>
      <c r="C57" s="22">
        <f>'Food costs - Input data'!B38</f>
        <v/>
      </c>
      <c r="D57" s="22">
        <f>IF('Food costs - Input data'!C38="","",'Food costs - Input data'!C38)</f>
        <v/>
      </c>
      <c r="E57" s="485" t="n">
        <v>20.1</v>
      </c>
      <c r="F57" s="485" t="n">
        <v>1.7</v>
      </c>
      <c r="G57" s="485" t="n">
        <v>0</v>
      </c>
      <c r="H57" s="179" t="n">
        <v>0.6</v>
      </c>
      <c r="I57" s="140" t="n"/>
    </row>
    <row r="58">
      <c r="B58" s="177" t="n"/>
      <c r="C58" s="22">
        <f>'Food costs - Input data'!B39</f>
        <v/>
      </c>
      <c r="D58" s="22">
        <f>IF('Food costs - Input data'!C39="","",'Food costs - Input data'!C39)</f>
        <v/>
      </c>
      <c r="E58" s="485" t="n">
        <v>20.5</v>
      </c>
      <c r="F58" s="485" t="n">
        <v>1.8</v>
      </c>
      <c r="G58" s="485" t="n">
        <v>0</v>
      </c>
      <c r="H58" s="179" t="n">
        <v>0.6</v>
      </c>
      <c r="I58" s="140" t="n"/>
      <c r="O58" s="163" t="n"/>
      <c r="Q58" s="163" t="n"/>
    </row>
    <row r="59">
      <c r="B59" s="177" t="n"/>
      <c r="C59" s="22">
        <f>'Food costs - Input data'!B40</f>
        <v/>
      </c>
      <c r="D59" s="22">
        <f>IF('Food costs - Input data'!C40="","",'Food costs - Input data'!C40)</f>
        <v/>
      </c>
      <c r="E59" s="485" t="n">
        <v>57</v>
      </c>
      <c r="F59" s="485" t="n">
        <v>12</v>
      </c>
      <c r="G59" s="485" t="n">
        <v>0</v>
      </c>
      <c r="H59" s="179" t="n">
        <v>0.6</v>
      </c>
      <c r="I59" s="140" t="n"/>
    </row>
    <row r="60">
      <c r="B60" s="177" t="n"/>
      <c r="C60" s="22">
        <f>'Food costs - Input data'!B41</f>
        <v/>
      </c>
      <c r="D60" s="22">
        <f>IF('Food costs - Input data'!C41="","",'Food costs - Input data'!C41)</f>
        <v/>
      </c>
      <c r="E60" s="485" t="n">
        <v>55</v>
      </c>
      <c r="F60" s="485" t="n">
        <v>6</v>
      </c>
      <c r="G60" s="485" t="n">
        <v>0</v>
      </c>
      <c r="H60" s="179" t="n">
        <v>0.6</v>
      </c>
      <c r="I60" s="140" t="n"/>
      <c r="L60" s="184" t="n"/>
    </row>
    <row r="61">
      <c r="B61" s="177" t="n"/>
      <c r="C61" s="22">
        <f>'Food costs - Input data'!B42</f>
        <v/>
      </c>
      <c r="D61" s="22">
        <f>IF('Food costs - Input data'!C42="","",'Food costs - Input data'!C42)</f>
        <v/>
      </c>
      <c r="E61" s="485" t="n">
        <v>3.5</v>
      </c>
      <c r="F61" s="485" t="n">
        <v>0.4</v>
      </c>
      <c r="G61" s="485" t="n">
        <v>6</v>
      </c>
      <c r="H61" s="179" t="n">
        <v>1</v>
      </c>
      <c r="I61" s="140" t="n"/>
    </row>
    <row r="62">
      <c r="B62" s="177" t="n"/>
      <c r="C62" s="22">
        <f>'Food costs - Input data'!B43</f>
        <v/>
      </c>
      <c r="D62" s="22">
        <f>IF('Food costs - Input data'!C43="","",'Food costs - Input data'!C43)</f>
        <v/>
      </c>
      <c r="E62" s="485" t="n">
        <v>2.9</v>
      </c>
      <c r="F62" s="485" t="n">
        <v>0.4</v>
      </c>
      <c r="G62" s="485" t="n">
        <v>3.6</v>
      </c>
      <c r="H62" s="179" t="n">
        <v>1</v>
      </c>
      <c r="I62" s="140" t="n"/>
    </row>
    <row r="63">
      <c r="B63" s="177" t="n"/>
      <c r="C63" s="22">
        <f>'Food costs - Input data'!B44</f>
        <v/>
      </c>
      <c r="D63" s="22">
        <f>IF('Food costs - Input data'!C44="","",'Food costs - Input data'!C44)</f>
        <v/>
      </c>
      <c r="E63" s="485" t="n">
        <v>3.3</v>
      </c>
      <c r="F63" s="485" t="n">
        <v>0.7</v>
      </c>
      <c r="G63" s="485" t="n">
        <v>8.800000000000001</v>
      </c>
      <c r="H63" s="179" t="n">
        <v>1</v>
      </c>
      <c r="I63" s="140" t="n"/>
    </row>
    <row r="64">
      <c r="B64" s="177" t="n"/>
      <c r="C64" s="22">
        <f>'Food costs - Input data'!B45</f>
        <v/>
      </c>
      <c r="D64" s="22">
        <f>IF('Food costs - Input data'!C45="","",'Food costs - Input data'!C45)</f>
        <v/>
      </c>
      <c r="E64" s="485" t="n">
        <v>3.2</v>
      </c>
      <c r="F64" s="485" t="n">
        <v>0.5</v>
      </c>
      <c r="G64" s="485" t="n">
        <v>7</v>
      </c>
      <c r="H64" s="179" t="n">
        <v>1</v>
      </c>
      <c r="I64" s="140" t="n"/>
    </row>
    <row r="65">
      <c r="B65" s="177" t="n"/>
      <c r="C65" s="22">
        <f>'Food costs - Input data'!B46</f>
        <v/>
      </c>
      <c r="D65" s="22">
        <f>IF('Food costs - Input data'!C46="","",'Food costs - Input data'!C46)</f>
        <v/>
      </c>
      <c r="E65" s="179" t="n">
        <v>2.5</v>
      </c>
      <c r="F65" s="179" t="n">
        <v>0.3</v>
      </c>
      <c r="G65" s="179" t="n">
        <v>6</v>
      </c>
      <c r="H65" s="179" t="n">
        <v>1</v>
      </c>
      <c r="I65" s="140" t="n"/>
    </row>
    <row r="66">
      <c r="B66" s="177" t="n"/>
      <c r="C66" s="22">
        <f>'Food costs - Input data'!B47</f>
        <v/>
      </c>
      <c r="D66" s="22">
        <f>IF('Food costs - Input data'!C47="","",'Food costs - Input data'!C47)</f>
        <v/>
      </c>
      <c r="E66" s="485" t="n">
        <v>1.8</v>
      </c>
      <c r="F66" s="485" t="n">
        <v>0.2</v>
      </c>
      <c r="G66" s="485" t="n">
        <v>7.3</v>
      </c>
      <c r="H66" s="179" t="n">
        <v>1</v>
      </c>
      <c r="I66" s="140" t="n"/>
    </row>
    <row r="67">
      <c r="B67" s="177" t="n"/>
      <c r="C67" s="22">
        <f>'Food costs - Input data'!B48</f>
        <v/>
      </c>
      <c r="D67" s="22">
        <f>IF('Food costs - Input data'!C48="","",'Food costs - Input data'!C48)</f>
        <v/>
      </c>
      <c r="E67" s="485" t="n">
        <v>1.3</v>
      </c>
      <c r="F67" s="485" t="n">
        <v>0.1</v>
      </c>
      <c r="G67" s="485" t="n">
        <v>6</v>
      </c>
      <c r="H67" s="179" t="n">
        <v>1</v>
      </c>
      <c r="I67" s="140" t="n"/>
    </row>
    <row r="68">
      <c r="B68" s="177" t="n"/>
      <c r="C68" s="22">
        <f>'Food costs - Input data'!B49</f>
        <v/>
      </c>
      <c r="D68" s="22">
        <f>IF('Food costs - Input data'!C49="","",'Food costs - Input data'!C49)</f>
        <v/>
      </c>
      <c r="E68" s="485" t="n">
        <v>0.6</v>
      </c>
      <c r="F68" s="485" t="n">
        <v>0.2</v>
      </c>
      <c r="G68" s="485" t="n">
        <v>8</v>
      </c>
      <c r="H68" s="179" t="n">
        <v>0.8</v>
      </c>
      <c r="I68" s="140" t="n"/>
    </row>
    <row r="69">
      <c r="B69" s="177" t="n"/>
      <c r="C69" s="22">
        <f>'Food costs - Input data'!B50</f>
        <v/>
      </c>
      <c r="D69" s="22">
        <f>IF('Food costs - Input data'!C50="","",'Food costs - Input data'!C50)</f>
        <v/>
      </c>
      <c r="E69" s="485" t="n">
        <v>0.8</v>
      </c>
      <c r="F69" s="485" t="n">
        <v>0.4</v>
      </c>
      <c r="G69" s="485" t="n">
        <v>15</v>
      </c>
      <c r="H69" s="179" t="n">
        <v>0.8</v>
      </c>
      <c r="I69" s="140" t="n"/>
    </row>
    <row r="70">
      <c r="B70" s="177" t="n"/>
      <c r="C70" s="22">
        <f>'Food costs - Input data'!B51</f>
        <v/>
      </c>
      <c r="D70" s="22">
        <f>IF('Food costs - Input data'!C51="","",'Food costs - Input data'!C51)</f>
        <v/>
      </c>
      <c r="E70" s="485" t="n">
        <v>1.1</v>
      </c>
      <c r="F70" s="485" t="n">
        <v>0.3</v>
      </c>
      <c r="G70" s="485" t="n">
        <v>23</v>
      </c>
      <c r="H70" s="179" t="n">
        <v>0.8</v>
      </c>
      <c r="I70" s="140" t="n"/>
    </row>
    <row r="71">
      <c r="B71" s="177" t="n"/>
      <c r="C71" s="22">
        <f>'Food costs - Input data'!B52</f>
        <v/>
      </c>
      <c r="D71" s="22">
        <f>IF('Food costs - Input data'!C52="","",'Food costs - Input data'!C52)</f>
        <v/>
      </c>
      <c r="E71" s="485" t="n">
        <v>0.5</v>
      </c>
      <c r="F71" s="485" t="n">
        <v>0.1</v>
      </c>
      <c r="G71" s="485" t="n">
        <v>13</v>
      </c>
      <c r="H71" s="179" t="n">
        <v>0.8</v>
      </c>
      <c r="I71" s="140" t="n"/>
    </row>
    <row r="72">
      <c r="B72" s="177" t="n"/>
      <c r="C72" s="22">
        <f>'Food costs - Input data'!B53</f>
        <v/>
      </c>
      <c r="D72" s="22">
        <f>IF('Food costs - Input data'!C53="","",'Food costs - Input data'!C53)</f>
        <v/>
      </c>
      <c r="E72" s="485" t="n">
        <v>0</v>
      </c>
      <c r="F72" s="485" t="n">
        <v>100</v>
      </c>
      <c r="G72" s="485" t="n">
        <v>0</v>
      </c>
      <c r="H72" s="179" t="n">
        <v>0.8</v>
      </c>
      <c r="I72" s="140" t="n"/>
    </row>
    <row r="73">
      <c r="B73" s="177" t="n"/>
      <c r="C73" s="22">
        <f>'Food costs - Input data'!B54</f>
        <v/>
      </c>
      <c r="D73" s="22">
        <f>IF('Food costs - Input data'!C54="","",'Food costs - Input data'!C54)</f>
        <v/>
      </c>
      <c r="E73" s="485" t="n">
        <v>0.3</v>
      </c>
      <c r="F73" s="485" t="n">
        <v>99</v>
      </c>
      <c r="G73" s="485" t="n">
        <v>0</v>
      </c>
      <c r="H73" s="179" t="n">
        <v>0.8</v>
      </c>
      <c r="I73" s="140" t="n"/>
    </row>
    <row r="74">
      <c r="B74" s="177" t="n"/>
      <c r="C74" s="22">
        <f>'Food costs - Input data'!B55</f>
        <v/>
      </c>
      <c r="D74" s="22">
        <f>IF('Food costs - Input data'!C55="","",'Food costs - Input data'!C55)</f>
        <v/>
      </c>
      <c r="E74" s="485" t="n">
        <v>0.2</v>
      </c>
      <c r="F74" s="485" t="n">
        <v>80</v>
      </c>
      <c r="G74" s="485" t="n">
        <v>0.7</v>
      </c>
      <c r="H74" s="179" t="n">
        <v>0.8</v>
      </c>
      <c r="I74" s="140" t="n"/>
    </row>
    <row r="75">
      <c r="B75" s="177" t="n"/>
      <c r="C75" s="22">
        <f>'Food costs - Input data'!B56</f>
        <v/>
      </c>
      <c r="D75" s="22">
        <f>IF('Food costs - Input data'!C56="","",'Food costs - Input data'!C56)</f>
        <v/>
      </c>
      <c r="E75" s="485" t="n">
        <v>0</v>
      </c>
      <c r="F75" s="485" t="n">
        <v>0</v>
      </c>
      <c r="G75" s="485" t="n">
        <v>0</v>
      </c>
      <c r="H75" s="179" t="n">
        <v>1</v>
      </c>
      <c r="I75" s="140" t="n"/>
    </row>
    <row r="76">
      <c r="B76" s="177" t="n"/>
      <c r="C76" s="22">
        <f>'Food costs - Input data'!B57</f>
        <v/>
      </c>
      <c r="D76" s="22">
        <f>IF('Food costs - Input data'!C57="","",'Food costs - Input data'!C57)</f>
        <v/>
      </c>
      <c r="E76" s="485" t="n">
        <v>0.1</v>
      </c>
      <c r="F76" s="485" t="n">
        <v>0</v>
      </c>
      <c r="G76" s="485" t="n">
        <v>0</v>
      </c>
      <c r="H76" s="179" t="n">
        <v>1</v>
      </c>
      <c r="I76" s="140" t="n"/>
    </row>
    <row r="77">
      <c r="B77" s="177" t="n"/>
      <c r="C77" s="22">
        <f>'Food costs - Input data'!B58</f>
        <v/>
      </c>
      <c r="D77" s="22">
        <f>IF('Food costs - Input data'!C58="","",'Food costs - Input data'!C58)</f>
        <v/>
      </c>
      <c r="E77" s="485" t="n">
        <v>0</v>
      </c>
      <c r="F77" s="485" t="n">
        <v>0</v>
      </c>
      <c r="G77" s="485" t="n">
        <v>10.6</v>
      </c>
      <c r="H77" s="179" t="n">
        <v>1</v>
      </c>
      <c r="I77" s="140" t="n"/>
    </row>
    <row r="78">
      <c r="B78" s="177" t="n"/>
      <c r="C78" s="22">
        <f>'Food costs - Input data'!B59</f>
        <v/>
      </c>
      <c r="D78" s="22">
        <f>IF('Food costs - Input data'!C59="","",'Food costs - Input data'!C59)</f>
        <v/>
      </c>
      <c r="E78" s="485" t="n">
        <v>0</v>
      </c>
      <c r="F78" s="485" t="n">
        <v>0</v>
      </c>
      <c r="G78" s="485" t="n">
        <v>100</v>
      </c>
      <c r="H78" s="179" t="n">
        <v>1</v>
      </c>
      <c r="I78" s="140" t="n"/>
    </row>
    <row r="79">
      <c r="B79" s="177" t="n"/>
      <c r="C79" s="22">
        <f>'Food costs - Input data'!B60</f>
        <v/>
      </c>
      <c r="D79" s="22">
        <f>IF('Food costs - Input data'!C60="","",'Food costs - Input data'!C60)</f>
        <v/>
      </c>
      <c r="E79" s="485" t="n">
        <v>0.3</v>
      </c>
      <c r="F79" s="485" t="n">
        <v>0</v>
      </c>
      <c r="G79" s="485" t="n">
        <v>82</v>
      </c>
      <c r="H79" s="179" t="n">
        <v>1</v>
      </c>
      <c r="I79" s="140" t="n"/>
    </row>
    <row r="80">
      <c r="B80" s="177" t="n"/>
      <c r="C80" s="22">
        <f>'Food costs - Input data'!B61</f>
        <v/>
      </c>
      <c r="D80" s="22">
        <f>IF('Food costs - Input data'!C61="","",'Food costs - Input data'!C61)</f>
        <v/>
      </c>
      <c r="E80" s="485" t="n">
        <v>0</v>
      </c>
      <c r="F80" s="485" t="n">
        <v>0</v>
      </c>
      <c r="G80" s="485" t="n">
        <v>0</v>
      </c>
      <c r="H80" s="179" t="n">
        <v>1</v>
      </c>
      <c r="I80" s="140" t="n"/>
    </row>
    <row r="81">
      <c r="B81" s="177" t="n"/>
      <c r="C81" s="22">
        <f>'Food costs - Input data'!B62</f>
        <v/>
      </c>
      <c r="D81" s="22">
        <f>IF('Food costs - Input data'!C62="","",'Food costs - Input data'!C62)</f>
        <v/>
      </c>
      <c r="E81" s="485" t="n">
        <v>10</v>
      </c>
      <c r="F81" s="485" t="n">
        <v>5</v>
      </c>
      <c r="G81" s="485" t="n">
        <v>40</v>
      </c>
      <c r="H81" s="179" t="n">
        <v>1</v>
      </c>
      <c r="I81" s="140" t="n"/>
    </row>
    <row r="82">
      <c r="B82" s="177" t="n"/>
      <c r="C82" s="22">
        <f>'Food costs - Input data'!B63</f>
        <v/>
      </c>
      <c r="D82" s="22">
        <f>IF('Food costs - Input data'!C63="","",'Food costs - Input data'!C63)</f>
        <v/>
      </c>
      <c r="E82" s="485" t="n">
        <v>2</v>
      </c>
      <c r="F82" s="485" t="n">
        <v>1</v>
      </c>
      <c r="G82" s="485" t="n">
        <v>10</v>
      </c>
      <c r="H82" s="179" t="n">
        <v>1</v>
      </c>
      <c r="I82" s="140" t="n"/>
    </row>
    <row r="83" ht="16" customHeight="1" thickBot="1">
      <c r="B83" s="181" t="n"/>
      <c r="C83" s="143" t="n"/>
      <c r="D83" s="143" t="n"/>
      <c r="E83" s="143" t="n"/>
      <c r="F83" s="143" t="n"/>
      <c r="G83" s="143" t="n"/>
      <c r="H83" s="143" t="n"/>
      <c r="I83" s="145" t="n"/>
    </row>
    <row r="84">
      <c r="B84" s="60" t="n"/>
    </row>
    <row r="85" ht="21" customHeight="1">
      <c r="B85" s="126" t="inlineStr">
        <is>
          <t>1C) Refine model diet to meet WHO recommendations</t>
        </is>
      </c>
      <c r="C85" s="28" t="n"/>
      <c r="D85" s="28"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row>
    <row r="87" ht="19" customHeight="1">
      <c r="C87" s="182" t="inlineStr">
        <is>
          <t>Guidance</t>
        </is>
      </c>
      <c r="D87" s="184" t="n"/>
    </row>
    <row r="88" ht="27" customHeight="1">
      <c r="C88" s="424" t="inlineStr">
        <is>
          <t>In this section, the user must provide values for the minimum and maximum amount of food for the model diet. Edit cells F96-F114 and Control if cells E83-E87 falls into ranges that are recommended by WHO (do not edit cells D83-D87). The calculated value (cell D83) will turn red if the target value (cell E83) is not met (a 1% error margin is allowed).
If the target values are not met (rows 83-87), here there are some suggestions:
- If Carbohydrates are too low: try to increase the minimum amount of cereals &amp; grains, prepared cereals, and roots &amp; tubers (starchy), or beans in cells F96-F114
- If fats are too low: try to increase the minimum amount of meat, fish, avocado (if there), eggs, or dairy  in cells F96-F114
- If high-quality proteins are low: increase minimum intake of pulses, legumes, beans, and animal-based proteins (meat or fish)  in cells F96-F114</t>
        </is>
      </c>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row>
    <row r="89" ht="27" customHeight="1">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row>
    <row r="90">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row>
    <row r="91">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row>
    <row r="92" ht="46.5" customHeight="1">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row>
    <row r="94" ht="16" customHeight="1" thickBot="1"/>
    <row r="95" ht="24" customHeight="1">
      <c r="B95" s="135" t="n"/>
      <c r="C95" s="157" t="inlineStr">
        <is>
          <t>CALORY INTAKE and NUTRITIONAL CHECK</t>
        </is>
      </c>
      <c r="D95" s="158" t="n"/>
      <c r="E95" s="137" t="n"/>
      <c r="F95" s="138" t="n"/>
    </row>
    <row r="96" ht="24" customHeight="1">
      <c r="B96" s="139" t="n"/>
      <c r="C96" s="183" t="n"/>
      <c r="D96" s="184" t="n"/>
      <c r="F96" s="140" t="n"/>
    </row>
    <row r="97">
      <c r="B97" s="139" t="n"/>
      <c r="D97" s="88">
        <f>'3. Food costs'!D33</f>
        <v/>
      </c>
      <c r="E97" s="88">
        <f>'3. Food costs'!E33</f>
        <v/>
      </c>
      <c r="F97" s="140" t="n"/>
    </row>
    <row r="98">
      <c r="B98" s="139" t="n"/>
      <c r="D98" s="50" t="n"/>
      <c r="E98" s="50" t="n"/>
      <c r="F98" s="140" t="n"/>
    </row>
    <row r="99" ht="16" customHeight="1">
      <c r="B99" s="139" t="n"/>
      <c r="C99" s="185" t="inlineStr">
        <is>
          <t>Energy consumption target (kCal)</t>
        </is>
      </c>
      <c r="D99" s="475">
        <f>'3. Food costs'!D35</f>
        <v/>
      </c>
      <c r="E99" s="187">
        <f>'Background calculations'!AC235</f>
        <v/>
      </c>
      <c r="F99" s="140" t="n"/>
    </row>
    <row r="100">
      <c r="B100" s="139" t="n"/>
      <c r="F100" s="140" t="n"/>
    </row>
    <row r="101">
      <c r="B101" s="139" t="n"/>
      <c r="C101" s="188" t="inlineStr">
        <is>
          <t>Energy from Carbohydrates</t>
        </is>
      </c>
      <c r="D101" s="475" t="inlineStr">
        <is>
          <t>50% - 75%</t>
        </is>
      </c>
      <c r="E101" s="189">
        <f>IFERROR('3. Food costs'!E37,"")</f>
        <v/>
      </c>
      <c r="F101" s="140" t="n"/>
    </row>
    <row r="102">
      <c r="B102" s="139" t="n"/>
      <c r="C102" s="188" t="inlineStr">
        <is>
          <t>Energy from fats</t>
        </is>
      </c>
      <c r="D102" s="475">
        <f>'3. Food costs'!D38</f>
        <v/>
      </c>
      <c r="E102" s="189">
        <f>IFERROR('3. Food costs'!E38,"")</f>
        <v/>
      </c>
      <c r="F102" s="140" t="n"/>
    </row>
    <row r="103">
      <c r="B103" s="139" t="n"/>
      <c r="C103" s="188" t="inlineStr">
        <is>
          <t>Energy from high quality proteins*</t>
        </is>
      </c>
      <c r="D103" s="475" t="inlineStr">
        <is>
          <t>&gt;10%</t>
        </is>
      </c>
      <c r="E103" s="189">
        <f>IFERROR('3. Food costs'!E41,"")</f>
        <v/>
      </c>
      <c r="F103" s="140" t="n"/>
    </row>
    <row r="104">
      <c r="B104" s="139" t="n"/>
      <c r="C104" s="190" t="inlineStr">
        <is>
          <t>*Pulses, legumes, beans and animal based proteins</t>
        </is>
      </c>
      <c r="F104" s="140" t="n"/>
    </row>
    <row r="105" ht="16" customHeight="1" thickBot="1">
      <c r="B105" s="142" t="n"/>
      <c r="C105" s="191" t="n"/>
      <c r="D105" s="192" t="n"/>
      <c r="E105" s="143" t="n"/>
      <c r="F105" s="145" t="n"/>
    </row>
    <row r="108" ht="16" customHeight="1" thickBot="1"/>
    <row r="109" ht="24" customHeight="1">
      <c r="B109" s="156" t="n"/>
      <c r="C109" s="157" t="inlineStr">
        <is>
          <t>Model Diet Intake</t>
        </is>
      </c>
      <c r="D109" s="157" t="n"/>
      <c r="E109" s="157" t="n"/>
      <c r="F109" s="157" t="n"/>
      <c r="G109" s="157" t="n"/>
      <c r="H109" s="157" t="n"/>
      <c r="I109" s="157" t="n"/>
      <c r="J109" s="157" t="n"/>
      <c r="K109" s="159" t="n"/>
      <c r="M109" s="193" t="n"/>
      <c r="N109" s="193" t="n"/>
      <c r="O109" s="193" t="n"/>
      <c r="P109" s="193" t="n"/>
      <c r="Q109" s="193" t="n"/>
      <c r="R109" s="193" t="n"/>
      <c r="S109" s="193" t="n"/>
      <c r="T109" s="193" t="n"/>
      <c r="U109" s="193" t="n"/>
      <c r="V109" s="193" t="n"/>
      <c r="W109" s="193" t="n"/>
      <c r="X109" s="193" t="n"/>
      <c r="Y109" s="193" t="n"/>
    </row>
    <row r="110">
      <c r="B110" s="139" t="n"/>
      <c r="F110" s="427" t="inlineStr">
        <is>
          <t>Edible portion</t>
        </is>
      </c>
      <c r="G110" s="457" t="n"/>
      <c r="H110" s="427" t="inlineStr">
        <is>
          <t>As purchased</t>
        </is>
      </c>
      <c r="I110" s="457" t="n"/>
      <c r="J110" s="427" t="inlineStr">
        <is>
          <t>Edible portion</t>
        </is>
      </c>
      <c r="K110" s="140" t="n"/>
    </row>
    <row r="111">
      <c r="B111" s="139" t="n"/>
      <c r="C111" s="194" t="inlineStr">
        <is>
          <t>Food group</t>
        </is>
      </c>
      <c r="D111" s="194" t="inlineStr">
        <is>
          <t>Item</t>
        </is>
      </c>
      <c r="E111" s="194" t="inlineStr">
        <is>
          <t>Change item</t>
        </is>
      </c>
      <c r="F111" s="195" t="inlineStr">
        <is>
          <t>Amount Min (g)</t>
        </is>
      </c>
      <c r="G111" s="195" t="inlineStr">
        <is>
          <t>Amount max (g)</t>
        </is>
      </c>
      <c r="H111" s="195" t="inlineStr">
        <is>
          <t>Amount Min (g)</t>
        </is>
      </c>
      <c r="I111" s="195" t="inlineStr">
        <is>
          <t>Amount max (g)</t>
        </is>
      </c>
      <c r="J111" s="195" t="inlineStr">
        <is>
          <t>Final calculated (g)</t>
        </is>
      </c>
      <c r="K111" s="140" t="n"/>
      <c r="M111" s="196" t="inlineStr">
        <is>
          <t>Suggestions for minimum and maximum amount for Model diet</t>
        </is>
      </c>
      <c r="N111" s="196" t="n"/>
      <c r="O111" s="196" t="n"/>
      <c r="P111" s="196" t="n"/>
      <c r="Q111" s="196" t="n"/>
      <c r="R111" s="196" t="n"/>
      <c r="S111" s="196" t="n"/>
      <c r="T111" s="196" t="n"/>
      <c r="U111" s="196" t="n"/>
      <c r="V111" s="196" t="n"/>
      <c r="W111" s="196" t="n"/>
      <c r="X111" s="196" t="n"/>
      <c r="Y111" s="196" t="n"/>
    </row>
    <row r="112">
      <c r="B112" s="139" t="n"/>
      <c r="C112" s="22" t="inlineStr">
        <is>
          <t>Cereals and Grains</t>
        </is>
      </c>
      <c r="D112" s="22">
        <f>IF(OR(_xlfn.XLOOKUP(C112&amp;'Background calculations'!D216,Table2[lookup],Table2[Item],"") = 0,_xlfn.XLOOKUP(C112&amp;'Background calculations'!D216,Table2[lookup],Table2[Item],"") = ""),"",_xlfn.XLOOKUP(C112&amp;'Background calculations'!D216,Table2[lookup],Table2[Item],"item not available"))</f>
        <v/>
      </c>
      <c r="E112" s="197" t="inlineStr">
        <is>
          <t>Option 1</t>
        </is>
      </c>
      <c r="F112" s="392" t="n">
        <v>270</v>
      </c>
      <c r="G112" s="392" t="n">
        <v>300</v>
      </c>
      <c r="H112" s="198">
        <f>F112/_xlfn.XLOOKUP($D112,Table2[Item],Table2[Edible portion])</f>
        <v/>
      </c>
      <c r="I112" s="198">
        <f>G112/_xlfn.XLOOKUP($D112,Table2[Item],Table2[Edible portion])</f>
        <v/>
      </c>
      <c r="J112" s="322">
        <f>'Background calculations'!AB216</f>
        <v/>
      </c>
      <c r="K112" s="321" t="n"/>
      <c r="M112" s="199" t="inlineStr">
        <is>
          <t xml:space="preserve">Minimum 150 grams maximum 300 </t>
        </is>
      </c>
      <c r="N112" s="200" t="n"/>
      <c r="O112" s="200" t="n"/>
      <c r="P112" s="200" t="n"/>
      <c r="Q112" s="200" t="n"/>
      <c r="R112" s="200" t="n"/>
      <c r="S112" s="200" t="n"/>
      <c r="T112" s="200" t="n"/>
      <c r="U112" s="200" t="n"/>
      <c r="V112" s="200" t="n"/>
      <c r="W112" s="200" t="n"/>
      <c r="X112" s="201" t="n"/>
      <c r="Y112" s="201" t="n"/>
    </row>
    <row r="113">
      <c r="B113" s="139" t="n"/>
      <c r="C113" s="22" t="inlineStr">
        <is>
          <t>Prepared cereals</t>
        </is>
      </c>
      <c r="D113" s="22">
        <f>IF(OR(_xlfn.XLOOKUP(C113&amp;'Background calculations'!D217,Table2[lookup],Table2[Item],"") = 0,_xlfn.XLOOKUP(C113&amp;'Background calculations'!D217,Table2[lookup],Table2[Item],"") = ""),"",_xlfn.XLOOKUP(C113&amp;'Background calculations'!D217,Table2[lookup],Table2[Item],"item not available"))</f>
        <v/>
      </c>
      <c r="E113" s="197" t="inlineStr">
        <is>
          <t>Option 3</t>
        </is>
      </c>
      <c r="F113" s="198" t="n">
        <v>50</v>
      </c>
      <c r="G113" s="392" t="n">
        <v>75</v>
      </c>
      <c r="H113" s="198">
        <f>F113/_xlfn.XLOOKUP($D113,Table2[Item],Table2[Edible portion])</f>
        <v/>
      </c>
      <c r="I113" s="198">
        <f>G113/_xlfn.XLOOKUP($D113,Table2[Item],Table2[Edible portion])</f>
        <v/>
      </c>
      <c r="J113" s="322">
        <f>'Background calculations'!AB217</f>
        <v/>
      </c>
      <c r="K113" s="321" t="n"/>
      <c r="M113" s="199" t="inlineStr">
        <is>
          <t>Minimum 50 grams maximum 75 (equivalent to 2 slices to 3 slices per day)</t>
        </is>
      </c>
      <c r="N113" s="200" t="n"/>
      <c r="O113" s="200" t="n"/>
      <c r="P113" s="200" t="n"/>
      <c r="Q113" s="200" t="n"/>
      <c r="R113" s="200" t="n"/>
      <c r="S113" s="200" t="n"/>
      <c r="T113" s="200" t="n"/>
      <c r="U113" s="200" t="n"/>
      <c r="V113" s="200" t="n"/>
      <c r="W113" s="200" t="n"/>
      <c r="X113" s="201" t="n"/>
      <c r="Y113" s="201" t="n"/>
    </row>
    <row r="114">
      <c r="B114" s="139" t="n"/>
      <c r="C114" s="22" t="inlineStr">
        <is>
          <t>Roots &amp; tubers (starchy)</t>
        </is>
      </c>
      <c r="D114" s="22">
        <f>IF(OR(_xlfn.XLOOKUP(C114&amp;'Background calculations'!D218,Table2[lookup],Table2[Item],"") = 0,_xlfn.XLOOKUP(C114&amp;'Background calculations'!D218,Table2[lookup],Table2[Item],"") = ""),"",_xlfn.XLOOKUP(C114&amp;'Background calculations'!D218,Table2[lookup],Table2[Item],"item not available"))</f>
        <v/>
      </c>
      <c r="E114" s="197" t="inlineStr">
        <is>
          <t>Option 1</t>
        </is>
      </c>
      <c r="F114" s="198" t="n">
        <v>200</v>
      </c>
      <c r="G114" s="392" t="n">
        <v>300</v>
      </c>
      <c r="H114" s="198">
        <f>F114/_xlfn.XLOOKUP($D114,Table2[Item],Table2[Edible portion])</f>
        <v/>
      </c>
      <c r="I114" s="198">
        <f>G114/_xlfn.XLOOKUP($D114,Table2[Item],Table2[Edible portion])</f>
        <v/>
      </c>
      <c r="J114" s="322">
        <f>'Background calculations'!AB218</f>
        <v/>
      </c>
      <c r="K114" s="321" t="n"/>
      <c r="M114" s="199" t="inlineStr">
        <is>
          <t>Generally, minimum 200 grams maximum 300 (double check with local nutritionist, local consultants, or with national food surveys how important are starchy tubers in the diet. The min and max could be different)</t>
        </is>
      </c>
      <c r="N114" s="200" t="n"/>
      <c r="O114" s="200" t="n"/>
      <c r="P114" s="200" t="n"/>
      <c r="Q114" s="200" t="n"/>
      <c r="R114" s="200" t="n"/>
      <c r="S114" s="200" t="n"/>
      <c r="T114" s="200" t="n"/>
      <c r="U114" s="200" t="n"/>
      <c r="V114" s="200" t="n"/>
      <c r="W114" s="200" t="n"/>
      <c r="X114" s="201" t="n"/>
      <c r="Y114" s="201" t="n"/>
    </row>
    <row r="115">
      <c r="B115" s="139" t="n"/>
      <c r="C115" s="22" t="inlineStr">
        <is>
          <t>Starchy fruit or vegetable</t>
        </is>
      </c>
      <c r="D115" s="22">
        <f>IF(OR(_xlfn.XLOOKUP(C115&amp;'Background calculations'!D219,Table2[lookup],Table2[Item],"") = 0,_xlfn.XLOOKUP(C115&amp;'Background calculations'!D219,Table2[lookup],Table2[Item],"") = ""),"",_xlfn.XLOOKUP(C115&amp;'Background calculations'!D219,Table2[lookup],Table2[Item],"item not available"))</f>
        <v/>
      </c>
      <c r="E115" s="197" t="inlineStr">
        <is>
          <t>Option 1</t>
        </is>
      </c>
      <c r="F115" s="198" t="n">
        <v>80</v>
      </c>
      <c r="G115" s="392" t="n">
        <v>160</v>
      </c>
      <c r="H115" s="198">
        <f>F115/_xlfn.XLOOKUP($D115,Table2[Item],Table2[Edible portion])</f>
        <v/>
      </c>
      <c r="I115" s="198">
        <f>G115/_xlfn.XLOOKUP($D115,Table2[Item],Table2[Edible portion])</f>
        <v/>
      </c>
      <c r="J115" s="322">
        <f>'Background calculations'!AB219</f>
        <v/>
      </c>
      <c r="K115" s="321" t="n"/>
      <c r="M115" s="199" t="inlineStr">
        <is>
          <t>Minimum 80 grams maximum 160 (also here, double check if starchy fruit and vegetables are relevant in the country of study)</t>
        </is>
      </c>
      <c r="N115" s="200" t="n"/>
      <c r="O115" s="200" t="n"/>
      <c r="P115" s="200" t="n"/>
      <c r="Q115" s="200" t="n"/>
      <c r="R115" s="200" t="n"/>
      <c r="S115" s="200" t="n"/>
      <c r="T115" s="200" t="n"/>
      <c r="U115" s="200" t="n"/>
      <c r="V115" s="200" t="n"/>
      <c r="W115" s="200" t="n"/>
      <c r="X115" s="201" t="n"/>
      <c r="Y115" s="201" t="n"/>
    </row>
    <row r="116">
      <c r="B116" s="139" t="n"/>
      <c r="C116" s="22" t="inlineStr">
        <is>
          <t>Pulses, legumes, beans</t>
        </is>
      </c>
      <c r="D116" s="22">
        <f>IF(OR(_xlfn.XLOOKUP(C116&amp;'Background calculations'!D220,Table2[lookup],Table2[Item],"") = 0,_xlfn.XLOOKUP(C116&amp;'Background calculations'!D220,Table2[lookup],Table2[Item],"") = ""),"",_xlfn.XLOOKUP(C116&amp;'Background calculations'!D220,Table2[lookup],Table2[Item],"item not available"))</f>
        <v/>
      </c>
      <c r="E116" s="197" t="inlineStr">
        <is>
          <t>Option 1</t>
        </is>
      </c>
      <c r="F116" s="198" t="n">
        <v>28</v>
      </c>
      <c r="G116" s="392" t="n">
        <v>84</v>
      </c>
      <c r="H116" s="198">
        <f>F116/_xlfn.XLOOKUP($D116,Table2[Item],Table2[Edible portion])</f>
        <v/>
      </c>
      <c r="I116" s="198">
        <f>G116/_xlfn.XLOOKUP($D116,Table2[Item],Table2[Edible portion])</f>
        <v/>
      </c>
      <c r="J116" s="322">
        <f>'Background calculations'!AB220</f>
        <v/>
      </c>
      <c r="K116" s="321" t="n"/>
      <c r="M116" s="199" t="inlineStr">
        <is>
          <t>From 28 to 84 grams (28 grams correspond to half serving)  - if vegetarian it can go higher</t>
        </is>
      </c>
      <c r="N116" s="200" t="n"/>
      <c r="O116" s="200" t="n"/>
      <c r="P116" s="200" t="n"/>
      <c r="Q116" s="200" t="n"/>
      <c r="R116" s="200" t="n"/>
      <c r="S116" s="200" t="n"/>
      <c r="T116" s="200" t="n"/>
      <c r="U116" s="200" t="n"/>
      <c r="V116" s="200" t="n"/>
      <c r="W116" s="200" t="n"/>
      <c r="X116" s="201" t="n"/>
      <c r="Y116" s="201" t="n"/>
    </row>
    <row r="117">
      <c r="B117" s="139" t="n"/>
      <c r="C117" s="22" t="inlineStr">
        <is>
          <t>Pulses, legumes, beans</t>
        </is>
      </c>
      <c r="D117" s="22">
        <f>IF(OR(_xlfn.XLOOKUP(C117&amp;'Background calculations'!D221,Table2[lookup],Table2[Item],"") = 0,_xlfn.XLOOKUP(C117&amp;'Background calculations'!D221,Table2[lookup],Table2[Item],"") = ""),"",_xlfn.XLOOKUP(C117&amp;'Background calculations'!D221,Table2[lookup],Table2[Item],"item not available"))</f>
        <v/>
      </c>
      <c r="E117" s="197" t="inlineStr">
        <is>
          <t>Option 1</t>
        </is>
      </c>
      <c r="F117" s="198" t="n">
        <v>28</v>
      </c>
      <c r="G117" s="392" t="n">
        <v>84</v>
      </c>
      <c r="H117" s="198">
        <f>F117/_xlfn.XLOOKUP($D117,Table2[Item],Table2[Edible portion])</f>
        <v/>
      </c>
      <c r="I117" s="198">
        <f>G117/_xlfn.XLOOKUP($D117,Table2[Item],Table2[Edible portion])</f>
        <v/>
      </c>
      <c r="J117" s="322">
        <f>'Background calculations'!AB221</f>
        <v/>
      </c>
      <c r="K117" s="321" t="n"/>
      <c r="M117" s="199" t="inlineStr">
        <is>
          <t>From 28 to 84 grams (28 grams correspond to half serving)  - if vegetarian it can go higher</t>
        </is>
      </c>
      <c r="N117" s="200" t="n"/>
      <c r="O117" s="200" t="n"/>
      <c r="P117" s="200" t="n"/>
      <c r="Q117" s="200" t="n"/>
      <c r="R117" s="200" t="n"/>
      <c r="S117" s="200" t="n"/>
      <c r="T117" s="200" t="n"/>
      <c r="U117" s="200" t="n"/>
      <c r="V117" s="200" t="n"/>
      <c r="W117" s="200" t="n"/>
      <c r="X117" s="201" t="n"/>
      <c r="Y117" s="201" t="n"/>
    </row>
    <row r="118">
      <c r="B118" s="139" t="n"/>
      <c r="C118" s="22" t="inlineStr">
        <is>
          <t>Dairy</t>
        </is>
      </c>
      <c r="D118" s="22">
        <f>IF(OR(_xlfn.XLOOKUP(C118&amp;'Background calculations'!D222,Table2[lookup],Table2[Item],"") = 0,_xlfn.XLOOKUP(C118&amp;'Background calculations'!D222,Table2[lookup],Table2[Item],"") = ""),"",_xlfn.XLOOKUP(C118&amp;'Background calculations'!D222,Table2[lookup],Table2[Item],"item not available"))</f>
        <v/>
      </c>
      <c r="E118" s="197" t="inlineStr">
        <is>
          <t>Option 2</t>
        </is>
      </c>
      <c r="F118" s="198" t="n">
        <v>60</v>
      </c>
      <c r="G118" s="392" t="n">
        <v>60</v>
      </c>
      <c r="H118" s="198">
        <f>F118/_xlfn.XLOOKUP($D118,Table2[Item],Table2[Edible portion])</f>
        <v/>
      </c>
      <c r="I118" s="198">
        <f>G118/_xlfn.XLOOKUP($D118,Table2[Item],Table2[Edible portion])</f>
        <v/>
      </c>
      <c r="J118" s="322">
        <f>'Background calculations'!AB222</f>
        <v/>
      </c>
      <c r="K118" s="321" t="n"/>
      <c r="M118" s="199" t="inlineStr">
        <is>
          <t>1/4 cup per day [60 grams]</t>
        </is>
      </c>
      <c r="N118" s="200" t="n"/>
      <c r="O118" s="200" t="n"/>
      <c r="P118" s="200" t="n"/>
      <c r="Q118" s="200" t="n"/>
      <c r="R118" s="200" t="n"/>
      <c r="S118" s="200" t="n"/>
      <c r="T118" s="200" t="n"/>
      <c r="U118" s="200" t="n"/>
      <c r="V118" s="200" t="n"/>
      <c r="W118" s="200" t="n"/>
      <c r="X118" s="201" t="n"/>
      <c r="Y118" s="201" t="n"/>
    </row>
    <row r="119">
      <c r="B119" s="139" t="n"/>
      <c r="C119" s="22" t="inlineStr">
        <is>
          <t>Eggs</t>
        </is>
      </c>
      <c r="D119" s="22">
        <f>IF(OR(_xlfn.XLOOKUP(C119&amp;'Background calculations'!D223,Table2[lookup],Table2[Item],"") = 0,_xlfn.XLOOKUP(C119&amp;'Background calculations'!D223,Table2[lookup],Table2[Item],"") = ""),"",_xlfn.XLOOKUP(C119&amp;'Background calculations'!D223,Table2[lookup],Table2[Item],"item not available"))</f>
        <v/>
      </c>
      <c r="E119" s="197" t="inlineStr">
        <is>
          <t>Option 1</t>
        </is>
      </c>
      <c r="F119" s="198" t="n">
        <v>15</v>
      </c>
      <c r="G119" s="392" t="n">
        <v>30</v>
      </c>
      <c r="H119" s="198">
        <f>F119/_xlfn.XLOOKUP($D119,Table2[Item],Table2[Edible portion])</f>
        <v/>
      </c>
      <c r="I119" s="198">
        <f>G119/_xlfn.XLOOKUP($D119,Table2[Item],Table2[Edible portion])</f>
        <v/>
      </c>
      <c r="J119" s="322">
        <f>'Background calculations'!AB223</f>
        <v/>
      </c>
      <c r="K119" s="321" t="n"/>
      <c r="M119" s="199" t="inlineStr">
        <is>
          <t>15 grams to 30 grams per day (equivalent of 2 to 4 eggs per week)</t>
        </is>
      </c>
      <c r="N119" s="200" t="n"/>
      <c r="O119" s="200" t="n"/>
      <c r="P119" s="200" t="n"/>
      <c r="Q119" s="200" t="n"/>
      <c r="R119" s="200" t="n"/>
      <c r="S119" s="200" t="n"/>
      <c r="T119" s="200" t="n"/>
      <c r="U119" s="200" t="n"/>
      <c r="V119" s="200" t="n"/>
      <c r="W119" s="200" t="n"/>
      <c r="X119" s="201" t="n"/>
      <c r="Y119" s="201" t="n"/>
    </row>
    <row r="120">
      <c r="B120" s="139" t="n"/>
      <c r="C120" s="22" t="inlineStr">
        <is>
          <t>Meats</t>
        </is>
      </c>
      <c r="D120" s="22">
        <f>IF(OR(_xlfn.XLOOKUP(C120&amp;'Background calculations'!D224,Table2[lookup],Table2[Item],"") = 0,_xlfn.XLOOKUP(C120&amp;'Background calculations'!D224,Table2[lookup],Table2[Item],"") = ""),"",_xlfn.XLOOKUP(C120&amp;'Background calculations'!D224,Table2[lookup],Table2[Item],"item not available"))</f>
        <v/>
      </c>
      <c r="E120" s="197" t="inlineStr">
        <is>
          <t>Option 1</t>
        </is>
      </c>
      <c r="F120" s="198" t="n">
        <v>12</v>
      </c>
      <c r="G120" s="392" t="n">
        <v>48</v>
      </c>
      <c r="H120" s="198">
        <f>F120/_xlfn.XLOOKUP($D120,Table2[Item],Table2[Edible portion])</f>
        <v/>
      </c>
      <c r="I120" s="198">
        <f>G120/_xlfn.XLOOKUP($D120,Table2[Item],Table2[Edible portion])</f>
        <v/>
      </c>
      <c r="J120" s="322">
        <f>'Background calculations'!AB224</f>
        <v/>
      </c>
      <c r="K120" s="321" t="n"/>
      <c r="M120" s="199" t="inlineStr">
        <is>
          <t>At least 1 portion per week (12 grams per day) to 4 times per week (48 grams) - capable of increasing it</t>
        </is>
      </c>
      <c r="N120" s="200" t="n"/>
      <c r="O120" s="200" t="n"/>
      <c r="P120" s="200" t="n"/>
      <c r="Q120" s="200" t="n"/>
      <c r="R120" s="200" t="n"/>
      <c r="S120" s="200" t="n"/>
      <c r="T120" s="200" t="n"/>
      <c r="U120" s="200" t="n"/>
      <c r="V120" s="200" t="n"/>
      <c r="W120" s="200" t="n"/>
      <c r="X120" s="201" t="n"/>
      <c r="Y120" s="201" t="n"/>
    </row>
    <row r="121">
      <c r="B121" s="139" t="n"/>
      <c r="C121" s="22" t="inlineStr">
        <is>
          <t>Fish</t>
        </is>
      </c>
      <c r="D121" s="22">
        <f>IF(OR(_xlfn.XLOOKUP(C121&amp;'Background calculations'!D225,Table2[lookup],Table2[Item],"") = 0,_xlfn.XLOOKUP(C121&amp;'Background calculations'!D225,Table2[lookup],Table2[Item],"") = ""),"",_xlfn.XLOOKUP(C121&amp;'Background calculations'!D225,Table2[lookup],Table2[Item],"item not available"))</f>
        <v/>
      </c>
      <c r="E121" s="197" t="inlineStr">
        <is>
          <t>Option 3</t>
        </is>
      </c>
      <c r="F121" s="198" t="n">
        <v>12</v>
      </c>
      <c r="G121" s="392" t="n">
        <v>12</v>
      </c>
      <c r="H121" s="198">
        <f>F121/_xlfn.XLOOKUP($D121,Table2[Item],Table2[Edible portion])</f>
        <v/>
      </c>
      <c r="I121" s="198">
        <f>G121/_xlfn.XLOOKUP($D121,Table2[Item],Table2[Edible portion])</f>
        <v/>
      </c>
      <c r="J121" s="322">
        <f>'Background calculations'!AB225</f>
        <v/>
      </c>
      <c r="K121" s="321" t="n"/>
      <c r="M121" s="199" t="inlineStr">
        <is>
          <t xml:space="preserve">At least 1 portion per week (12 grams per day) to 4 times per week (48 grams) - capable of increasing it </t>
        </is>
      </c>
      <c r="N121" s="200" t="n"/>
      <c r="O121" s="200" t="n"/>
      <c r="P121" s="200" t="n"/>
      <c r="Q121" s="200" t="n"/>
      <c r="R121" s="200" t="n"/>
      <c r="S121" s="200" t="n"/>
      <c r="T121" s="200" t="n"/>
      <c r="U121" s="200" t="n"/>
      <c r="V121" s="200" t="n"/>
      <c r="W121" s="200" t="n"/>
      <c r="X121" s="201" t="n"/>
      <c r="Y121" s="201" t="n"/>
    </row>
    <row r="122">
      <c r="B122" s="139" t="n"/>
      <c r="C122" s="22" t="inlineStr">
        <is>
          <t>Green leafy vegetables</t>
        </is>
      </c>
      <c r="D122" s="22">
        <f>IF(OR(_xlfn.XLOOKUP(C122&amp;'Background calculations'!D226,Table2[lookup],Table2[Item],"") = 0,_xlfn.XLOOKUP(C122&amp;'Background calculations'!D226,Table2[lookup],Table2[Item],"") = ""),"",_xlfn.XLOOKUP(C122&amp;'Background calculations'!D226,Table2[lookup],Table2[Item],"item not available"))</f>
        <v/>
      </c>
      <c r="E122" s="197" t="inlineStr">
        <is>
          <t>Option 1</t>
        </is>
      </c>
      <c r="F122" s="198" t="n">
        <v>75</v>
      </c>
      <c r="G122" s="392" t="n">
        <v>100</v>
      </c>
      <c r="H122" s="198">
        <f>F122/_xlfn.XLOOKUP($D122,Table2[Item],Table2[Edible portion])</f>
        <v/>
      </c>
      <c r="I122" s="198">
        <f>G122/_xlfn.XLOOKUP($D122,Table2[Item],Table2[Edible portion])</f>
        <v/>
      </c>
      <c r="J122" s="322">
        <f>'Background calculations'!AB226</f>
        <v/>
      </c>
      <c r="K122" s="321" t="n"/>
      <c r="M122" s="199" t="inlineStr">
        <is>
          <t>We recommend to have 75 grams as minimum amount - Maximum amount 100 (75 grams is approximately 1 serving)</t>
        </is>
      </c>
      <c r="N122" s="200" t="n"/>
      <c r="O122" s="200" t="n"/>
      <c r="P122" s="200" t="n"/>
      <c r="Q122" s="200" t="n"/>
      <c r="R122" s="200" t="n"/>
      <c r="S122" s="200" t="n"/>
      <c r="T122" s="200" t="n"/>
      <c r="U122" s="200" t="n"/>
      <c r="V122" s="200" t="n"/>
      <c r="W122" s="200" t="n"/>
      <c r="X122" s="201" t="n"/>
      <c r="Y122" s="201" t="n"/>
    </row>
    <row r="123">
      <c r="B123" s="139" t="n"/>
      <c r="C123" s="22" t="inlineStr">
        <is>
          <t>Other vegetables</t>
        </is>
      </c>
      <c r="D123" s="22">
        <f>IF(OR(_xlfn.XLOOKUP(C123&amp;'Background calculations'!D227,Table2[lookup],Table2[Item],"") = 0,_xlfn.XLOOKUP(C123&amp;'Background calculations'!D227,Table2[lookup],Table2[Item],"") = ""),"",_xlfn.XLOOKUP(C123&amp;'Background calculations'!D227,Table2[lookup],Table2[Item],"item not available"))</f>
        <v/>
      </c>
      <c r="E123" s="197" t="inlineStr">
        <is>
          <t>Option 1</t>
        </is>
      </c>
      <c r="F123" s="198" t="n">
        <v>41</v>
      </c>
      <c r="G123" s="392" t="n">
        <v>60</v>
      </c>
      <c r="H123" s="198">
        <f>F123/_xlfn.XLOOKUP($D123,Table2[Item],Table2[Edible portion])</f>
        <v/>
      </c>
      <c r="I123" s="198">
        <f>G123/_xlfn.XLOOKUP($D123,Table2[Item],Table2[Edible portion])</f>
        <v/>
      </c>
      <c r="J123" s="322">
        <f>'Background calculations'!AB227</f>
        <v/>
      </c>
      <c r="K123" s="321" t="n"/>
      <c r="M123" s="199" t="inlineStr">
        <is>
          <t>We recommend to have 41 grams as minimum amount - Maximum amount 60</t>
        </is>
      </c>
      <c r="N123" s="200" t="n"/>
      <c r="O123" s="200" t="n"/>
      <c r="P123" s="200" t="n"/>
      <c r="Q123" s="200" t="n"/>
      <c r="R123" s="200" t="n"/>
      <c r="S123" s="200" t="n"/>
      <c r="T123" s="200" t="n"/>
      <c r="U123" s="200" t="n"/>
      <c r="V123" s="200" t="n"/>
      <c r="W123" s="200" t="n"/>
      <c r="X123" s="201" t="n"/>
      <c r="Y123" s="201" t="n"/>
    </row>
    <row r="124">
      <c r="B124" s="139" t="n"/>
      <c r="C124" s="22" t="inlineStr">
        <is>
          <t>Other vegetables</t>
        </is>
      </c>
      <c r="D124" s="22">
        <f>IF(OR(_xlfn.XLOOKUP(C124&amp;'Background calculations'!D228,Table2[lookup],Table2[Item],"") = 0,_xlfn.XLOOKUP(C124&amp;'Background calculations'!D228,Table2[lookup],Table2[Item],"") = ""),"",_xlfn.XLOOKUP(C124&amp;'Background calculations'!D228,Table2[lookup],Table2[Item],"item not available"))</f>
        <v/>
      </c>
      <c r="E124" s="197" t="inlineStr">
        <is>
          <t>Option 2</t>
        </is>
      </c>
      <c r="F124" s="198" t="n">
        <v>41</v>
      </c>
      <c r="G124" s="392" t="n">
        <v>60</v>
      </c>
      <c r="H124" s="198">
        <f>F124/_xlfn.XLOOKUP($D124,Table2[Item],Table2[Edible portion])</f>
        <v/>
      </c>
      <c r="I124" s="198">
        <f>G124/_xlfn.XLOOKUP($D124,Table2[Item],Table2[Edible portion])</f>
        <v/>
      </c>
      <c r="J124" s="322">
        <f>'Background calculations'!AB228</f>
        <v/>
      </c>
      <c r="K124" s="321" t="n"/>
      <c r="M124" s="199" t="inlineStr">
        <is>
          <t>We recommend to have 41 grams as minimum amount - Maximum amount 60</t>
        </is>
      </c>
      <c r="N124" s="200" t="n"/>
      <c r="O124" s="200" t="n"/>
      <c r="P124" s="200" t="n"/>
      <c r="Q124" s="200" t="n"/>
      <c r="R124" s="200" t="n"/>
      <c r="S124" s="200" t="n"/>
      <c r="T124" s="200" t="n"/>
      <c r="U124" s="200" t="n"/>
      <c r="V124" s="200" t="n"/>
      <c r="W124" s="200" t="n"/>
      <c r="X124" s="201" t="n"/>
      <c r="Y124" s="201" t="n"/>
    </row>
    <row r="125">
      <c r="B125" s="139" t="n"/>
      <c r="C125" s="22" t="inlineStr">
        <is>
          <t>Other vegetables</t>
        </is>
      </c>
      <c r="D125" s="22">
        <f>IF(OR(_xlfn.XLOOKUP(C125&amp;'Background calculations'!D229,Table2[lookup],Table2[Item],"") = 0,_xlfn.XLOOKUP(C125&amp;'Background calculations'!D229,Table2[lookup],Table2[Item],"") = ""),"",_xlfn.XLOOKUP(C125&amp;'Background calculations'!D229,Table2[lookup],Table2[Item],"item not available"))</f>
        <v/>
      </c>
      <c r="E125" s="197" t="inlineStr">
        <is>
          <t>Option 3</t>
        </is>
      </c>
      <c r="F125" s="198" t="n">
        <v>41</v>
      </c>
      <c r="G125" s="392" t="n">
        <v>60</v>
      </c>
      <c r="H125" s="198">
        <f>F125/_xlfn.XLOOKUP($D125,Table2[Item],Table2[Edible portion])</f>
        <v/>
      </c>
      <c r="I125" s="198">
        <f>G125/_xlfn.XLOOKUP($D125,Table2[Item],Table2[Edible portion])</f>
        <v/>
      </c>
      <c r="J125" s="322">
        <f>'Background calculations'!AB229</f>
        <v/>
      </c>
      <c r="K125" s="321" t="n"/>
      <c r="M125" s="199" t="inlineStr">
        <is>
          <t>We recommend to have 41 grams as minimum amount - Maximum amount 60</t>
        </is>
      </c>
      <c r="N125" s="200" t="n"/>
      <c r="O125" s="200" t="n"/>
      <c r="P125" s="200" t="n"/>
      <c r="Q125" s="200" t="n"/>
      <c r="R125" s="200" t="n"/>
      <c r="S125" s="200" t="n"/>
      <c r="T125" s="200" t="n"/>
      <c r="U125" s="200" t="n"/>
      <c r="V125" s="200" t="n"/>
      <c r="W125" s="200" t="n"/>
      <c r="X125" s="201" t="n"/>
      <c r="Y125" s="201" t="n"/>
    </row>
    <row r="126">
      <c r="B126" s="139" t="n"/>
      <c r="C126" s="22" t="inlineStr">
        <is>
          <t>Fruits</t>
        </is>
      </c>
      <c r="D126" s="22">
        <f>IF(OR(_xlfn.XLOOKUP(C126&amp;'Background calculations'!D230,Table2[lookup],Table2[Item],"") = 0,_xlfn.XLOOKUP(C126&amp;'Background calculations'!D230,Table2[lookup],Table2[Item],"") = ""),"",_xlfn.XLOOKUP(C126&amp;'Background calculations'!D230,Table2[lookup],Table2[Item],"item not available"))</f>
        <v/>
      </c>
      <c r="E126" s="197" t="inlineStr">
        <is>
          <t>Option 2</t>
        </is>
      </c>
      <c r="F126" s="198" t="n">
        <v>50</v>
      </c>
      <c r="G126" s="392" t="n">
        <v>60</v>
      </c>
      <c r="H126" s="198">
        <f>F126/_xlfn.XLOOKUP($D126,Table2[Item],Table2[Edible portion])</f>
        <v/>
      </c>
      <c r="I126" s="198">
        <f>G126/_xlfn.XLOOKUP($D126,Table2[Item],Table2[Edible portion])</f>
        <v/>
      </c>
      <c r="J126" s="322">
        <f>'Background calculations'!AB230</f>
        <v/>
      </c>
      <c r="K126" s="321" t="n"/>
      <c r="M126" s="199" t="inlineStr">
        <is>
          <t>We recommend to have 50 grams as minimum amount - Maximum amount 60 (75 grams is approximately 1 serving)</t>
        </is>
      </c>
      <c r="N126" s="200" t="n"/>
      <c r="O126" s="200" t="n"/>
      <c r="P126" s="200" t="n"/>
      <c r="Q126" s="200" t="n"/>
      <c r="R126" s="200" t="n"/>
      <c r="S126" s="200" t="n"/>
      <c r="T126" s="200" t="n"/>
      <c r="U126" s="200" t="n"/>
      <c r="V126" s="200" t="n"/>
      <c r="W126" s="200" t="n"/>
      <c r="X126" s="201" t="n"/>
      <c r="Y126" s="201" t="n"/>
    </row>
    <row r="127">
      <c r="B127" s="139" t="n"/>
      <c r="C127" s="22" t="inlineStr">
        <is>
          <t>Fruits</t>
        </is>
      </c>
      <c r="D127" s="22">
        <f>IF(OR(_xlfn.XLOOKUP(C127&amp;'Background calculations'!D231,Table2[lookup],Table2[Item],"") = 0,_xlfn.XLOOKUP(C127&amp;'Background calculations'!D231,Table2[lookup],Table2[Item],"") = ""),"",_xlfn.XLOOKUP(C127&amp;'Background calculations'!D231,Table2[lookup],Table2[Item],"item not available"))</f>
        <v/>
      </c>
      <c r="E127" s="197" t="inlineStr">
        <is>
          <t>Option 2</t>
        </is>
      </c>
      <c r="F127" s="198" t="n">
        <v>50</v>
      </c>
      <c r="G127" s="392" t="n">
        <v>60</v>
      </c>
      <c r="H127" s="198">
        <f>F127/_xlfn.XLOOKUP($D127,Table2[Item],Table2[Edible portion])</f>
        <v/>
      </c>
      <c r="I127" s="198">
        <f>G127/_xlfn.XLOOKUP($D127,Table2[Item],Table2[Edible portion])</f>
        <v/>
      </c>
      <c r="J127" s="322">
        <f>'Background calculations'!AB231</f>
        <v/>
      </c>
      <c r="K127" s="321" t="n"/>
      <c r="M127" s="199" t="inlineStr">
        <is>
          <t>We recommend to have 50 grams as minimum amount - Maximum amount 60  (75 grams is approximately 1 serving)</t>
        </is>
      </c>
      <c r="N127" s="200" t="n"/>
      <c r="O127" s="200" t="n"/>
      <c r="P127" s="200" t="n"/>
      <c r="Q127" s="200" t="n"/>
      <c r="R127" s="200" t="n"/>
      <c r="S127" s="200" t="n"/>
      <c r="T127" s="200" t="n"/>
      <c r="U127" s="200" t="n"/>
      <c r="V127" s="200" t="n"/>
      <c r="W127" s="200" t="n"/>
      <c r="X127" s="201" t="n"/>
      <c r="Y127" s="201" t="n"/>
    </row>
    <row r="128">
      <c r="B128" s="139" t="n"/>
      <c r="C128" s="22" t="inlineStr">
        <is>
          <t>Oils &amp; Fats</t>
        </is>
      </c>
      <c r="D128" s="22">
        <f>IF(OR(_xlfn.XLOOKUP(C128&amp;'Background calculations'!D232,Table2[lookup],Table2[Item],"") = 0,_xlfn.XLOOKUP(C128&amp;'Background calculations'!D232,Table2[lookup],Table2[Item],"") = ""),"",_xlfn.XLOOKUP(C128&amp;'Background calculations'!D232,Table2[lookup],Table2[Item],"item not available"))</f>
        <v/>
      </c>
      <c r="E128" s="197" t="inlineStr">
        <is>
          <t>Option 2</t>
        </is>
      </c>
      <c r="F128" s="198" t="n">
        <v>30</v>
      </c>
      <c r="G128" s="392" t="n">
        <v>34</v>
      </c>
      <c r="H128" s="198">
        <f>F128/_xlfn.XLOOKUP($D128,Table2[Item],Table2[Edible portion])</f>
        <v/>
      </c>
      <c r="I128" s="198">
        <f>G128/_xlfn.XLOOKUP($D128,Table2[Item],Table2[Edible portion])</f>
        <v/>
      </c>
      <c r="J128" s="322">
        <f>'Background calculations'!AB232</f>
        <v/>
      </c>
      <c r="K128" s="321" t="n"/>
      <c r="M128" s="199" t="inlineStr">
        <is>
          <t>30 to 34 grams per day</t>
        </is>
      </c>
      <c r="N128" s="200" t="n"/>
      <c r="O128" s="200" t="n"/>
      <c r="P128" s="200" t="n"/>
      <c r="Q128" s="200" t="n"/>
      <c r="R128" s="200" t="n"/>
      <c r="S128" s="200" t="n"/>
      <c r="T128" s="200" t="n"/>
      <c r="U128" s="200" t="n"/>
      <c r="V128" s="200" t="n"/>
      <c r="W128" s="200" t="n"/>
      <c r="X128" s="201" t="n"/>
      <c r="Y128" s="201" t="n"/>
    </row>
    <row r="129">
      <c r="B129" s="139" t="n"/>
      <c r="C129" s="22" t="inlineStr">
        <is>
          <t>Nonalcoholic beverages</t>
        </is>
      </c>
      <c r="D129" s="22">
        <f>IF(OR(_xlfn.XLOOKUP(C129&amp;'Background calculations'!D233,Table2[lookup],Table2[Item],"") = 0,_xlfn.XLOOKUP(C129&amp;'Background calculations'!D233,Table2[lookup],Table2[Item],"") = ""),"",_xlfn.XLOOKUP(C129&amp;'Background calculations'!D233,Table2[lookup],Table2[Item],"item not available"))</f>
        <v/>
      </c>
      <c r="E129" s="197" t="inlineStr">
        <is>
          <t>Option 2</t>
        </is>
      </c>
      <c r="F129" s="198" t="n">
        <v>2</v>
      </c>
      <c r="G129" s="392" t="n">
        <v>2</v>
      </c>
      <c r="H129" s="198">
        <f>F129/_xlfn.XLOOKUP($D129,Table2[Item],Table2[Edible portion])</f>
        <v/>
      </c>
      <c r="I129" s="198">
        <f>G129/_xlfn.XLOOKUP($D129,Table2[Item],Table2[Edible portion])</f>
        <v/>
      </c>
      <c r="J129" s="322">
        <f>'Background calculations'!AB233</f>
        <v/>
      </c>
      <c r="K129" s="321" t="n"/>
      <c r="M129" s="199" t="inlineStr">
        <is>
          <t>1 to 2 cups per day (insert the grams needed for 1 or 2 cups; e.g. one tea bag is around 2 grams)</t>
        </is>
      </c>
      <c r="N129" s="200" t="n"/>
      <c r="O129" s="200" t="n"/>
      <c r="P129" s="200" t="n"/>
      <c r="Q129" s="200" t="n"/>
      <c r="R129" s="200" t="n"/>
      <c r="S129" s="200" t="n"/>
      <c r="T129" s="200" t="n"/>
      <c r="U129" s="200" t="n"/>
      <c r="V129" s="200" t="n"/>
      <c r="W129" s="200" t="n"/>
      <c r="X129" s="201" t="n"/>
      <c r="Y129" s="201" t="n"/>
    </row>
    <row r="130">
      <c r="B130" s="139" t="n"/>
      <c r="C130" s="22" t="inlineStr">
        <is>
          <t>Other</t>
        </is>
      </c>
      <c r="D130" s="22">
        <f>IF(OR(_xlfn.XLOOKUP(C130&amp;'Background calculations'!D234,Table2[lookup],Table2[Item],"") = 0,_xlfn.XLOOKUP(C130&amp;'Background calculations'!D234,Table2[lookup],Table2[Item],"") = ""),"",_xlfn.XLOOKUP(C130&amp;'Background calculations'!D234,Table2[lookup],Table2[Item],"item not available"))</f>
        <v/>
      </c>
      <c r="E130" s="197" t="inlineStr">
        <is>
          <t>Option 1</t>
        </is>
      </c>
      <c r="F130" s="198" t="n">
        <v>30</v>
      </c>
      <c r="G130" s="392" t="n">
        <v>30</v>
      </c>
      <c r="H130" s="198">
        <f>F130/_xlfn.XLOOKUP($D130,Table2[Item],Table2[Edible portion])</f>
        <v/>
      </c>
      <c r="I130" s="198">
        <f>G130/_xlfn.XLOOKUP($D130,Table2[Item],Table2[Edible portion])</f>
        <v/>
      </c>
      <c r="J130" s="322">
        <f>'Background calculations'!AB234</f>
        <v/>
      </c>
      <c r="K130" s="321" t="n"/>
      <c r="M130" s="199" t="inlineStr">
        <is>
          <t>30 grams per day</t>
        </is>
      </c>
      <c r="N130" s="200" t="n"/>
      <c r="O130" s="200" t="n"/>
      <c r="P130" s="200" t="n"/>
      <c r="Q130" s="200" t="n"/>
      <c r="R130" s="200" t="n"/>
      <c r="S130" s="200" t="n"/>
      <c r="T130" s="200" t="n"/>
      <c r="U130" s="200" t="n"/>
      <c r="V130" s="200" t="n"/>
      <c r="W130" s="200" t="n"/>
      <c r="X130" s="201" t="n"/>
      <c r="Y130" s="201" t="n"/>
    </row>
    <row r="131" ht="16" customHeight="1" thickBot="1">
      <c r="B131" s="142" t="n"/>
      <c r="C131" s="143" t="n"/>
      <c r="D131" s="143" t="n"/>
      <c r="E131" s="143" t="n"/>
      <c r="F131" s="143" t="n"/>
      <c r="G131" s="143" t="n"/>
      <c r="H131" s="143" t="n"/>
      <c r="I131" s="143" t="n"/>
      <c r="J131" s="143" t="n"/>
      <c r="K131" s="145" t="n"/>
    </row>
  </sheetData>
  <mergeCells count="6">
    <mergeCell ref="B5:X5"/>
    <mergeCell ref="C88:X92"/>
    <mergeCell ref="C22:X22"/>
    <mergeCell ref="L12:X12"/>
    <mergeCell ref="F110:G110"/>
    <mergeCell ref="H110:I110"/>
  </mergeCells>
  <conditionalFormatting sqref="E32:G39 E41:G65">
    <cfRule type="containsBlanks" priority="1" stopIfTrue="1">
      <formula>LEN(TRIM(E32))=0</formula>
    </cfRule>
    <cfRule type="containsBlanks" priority="2" dxfId="3" stopIfTrue="1">
      <formula>LEN(TRIM(E32))=0</formula>
    </cfRule>
  </conditionalFormatting>
  <conditionalFormatting sqref="E51:G53">
    <cfRule type="containsBlanks" priority="5" stopIfTrue="1">
      <formula>LEN(TRIM(E51))=0</formula>
    </cfRule>
    <cfRule type="containsBlanks" priority="6" dxfId="3" stopIfTrue="1">
      <formula>LEN(TRIM(E51))=0</formula>
    </cfRule>
  </conditionalFormatting>
  <conditionalFormatting sqref="E53:G63">
    <cfRule type="containsBlanks" priority="7" stopIfTrue="1">
      <formula>LEN(TRIM(E53))=0</formula>
    </cfRule>
    <cfRule type="containsBlanks" priority="8" dxfId="3" stopIfTrue="1">
      <formula>LEN(TRIM(E53))=0</formula>
    </cfRule>
  </conditionalFormatting>
  <conditionalFormatting sqref="E62:G64">
    <cfRule type="containsBlanks" priority="3" stopIfTrue="1">
      <formula>LEN(TRIM(E62))=0</formula>
    </cfRule>
    <cfRule type="containsBlanks" priority="4" dxfId="3" stopIfTrue="1">
      <formula>LEN(TRIM(E62))=0</formula>
    </cfRule>
  </conditionalFormatting>
  <conditionalFormatting sqref="F112 G112:G130">
    <cfRule type="expression" priority="9" dxfId="2">
      <formula>F112&lt;E112</formula>
    </cfRule>
  </conditionalFormatting>
  <dataValidations count="2">
    <dataValidation sqref="E14" showDropDown="0" showInputMessage="1" showErrorMessage="1" allowBlank="1" type="list">
      <formula1>"Sedentary, Moderate, Vigorous"</formula1>
    </dataValidation>
    <dataValidation sqref="E112:E130" showDropDown="0" showInputMessage="0" showErrorMessage="0" allowBlank="1" type="list">
      <formula1>='Background calculations'!$B$202:$B$206</formula1>
    </dataValidation>
  </dataValidations>
  <hyperlinks>
    <hyperlink xmlns:r="http://schemas.openxmlformats.org/officeDocument/2006/relationships" ref="K12" r:id="rId1"/>
    <hyperlink xmlns:r="http://schemas.openxmlformats.org/officeDocument/2006/relationships" ref="C24" r:id="rId2"/>
    <hyperlink xmlns:r="http://schemas.openxmlformats.org/officeDocument/2006/relationships" ref="C25" r:id="rId3"/>
  </hyperlinks>
  <pageMargins left="0.7" right="0.7" top="0.75" bottom="0.75" header="0.3" footer="0.3"/>
  <pageSetup orientation="portrait"/>
  <drawing xmlns:r="http://schemas.openxmlformats.org/officeDocument/2006/relationships" r:id="rId4"/>
</worksheet>
</file>

<file path=xl/worksheets/sheet10.xml><?xml version="1.0" encoding="utf-8"?>
<worksheet xmlns="http://schemas.openxmlformats.org/spreadsheetml/2006/main">
  <sheetPr>
    <tabColor rgb="FF0070C0"/>
    <outlinePr summaryBelow="1" summaryRight="1"/>
    <pageSetUpPr/>
  </sheetPr>
  <dimension ref="B2:Y45"/>
  <sheetViews>
    <sheetView showGridLines="0" topLeftCell="A11" zoomScale="50" zoomScaleNormal="100" workbookViewId="0">
      <selection activeCell="D26" sqref="D26"/>
    </sheetView>
  </sheetViews>
  <sheetFormatPr baseColWidth="10" defaultColWidth="8.83203125" defaultRowHeight="15"/>
  <cols>
    <col width="2.83203125" customWidth="1" style="22" min="1" max="1"/>
    <col width="2.1640625" customWidth="1" style="22" min="2" max="2"/>
    <col width="42" customWidth="1" style="22" min="3" max="3"/>
    <col width="25" customWidth="1" style="22" min="4" max="4"/>
    <col width="24" customWidth="1" style="22" min="5" max="5"/>
    <col width="7.83203125" customWidth="1" style="22" min="6" max="6"/>
    <col width="4.83203125" customWidth="1" style="22" min="7" max="7"/>
    <col width="11.5" customWidth="1" style="22" min="8" max="8"/>
    <col width="8.83203125" customWidth="1" style="22" min="9" max="16384"/>
  </cols>
  <sheetData>
    <row r="2" ht="62" customHeight="1">
      <c r="B2" s="131" t="inlineStr">
        <is>
          <t>Estimating non-food and non-housing costs</t>
        </is>
      </c>
      <c r="C2" s="132" t="n"/>
    </row>
    <row r="4" ht="21" customHeight="1">
      <c r="B4" s="120" t="inlineStr">
        <is>
          <t>1) ESTIMATE NON-FOOD, NON-HOUSING COSTS</t>
        </is>
      </c>
      <c r="C4" s="121" t="n"/>
      <c r="D4" s="122" t="n"/>
      <c r="E4" s="122" t="n"/>
      <c r="F4" s="122" t="n"/>
      <c r="G4" s="122" t="n"/>
      <c r="H4" s="122" t="n"/>
      <c r="I4" s="122" t="n"/>
      <c r="J4" s="122" t="n"/>
      <c r="K4" s="122" t="n"/>
      <c r="L4" s="122" t="n"/>
      <c r="M4" s="122" t="n"/>
      <c r="N4" s="122" t="n"/>
      <c r="O4" s="122" t="n"/>
      <c r="P4" s="122" t="n"/>
      <c r="Q4" s="122" t="n"/>
      <c r="R4" s="122" t="n"/>
      <c r="S4" s="122" t="n"/>
      <c r="T4" s="122" t="n"/>
      <c r="U4" s="122" t="n"/>
      <c r="V4" s="122" t="n"/>
      <c r="W4" s="122" t="n"/>
      <c r="X4" s="122" t="n"/>
    </row>
    <row r="6">
      <c r="B6" s="133" t="inlineStr">
        <is>
          <t>Guidance</t>
        </is>
      </c>
      <c r="C6" s="133" t="n"/>
      <c r="D6" s="133" t="n"/>
      <c r="E6" s="133" t="n"/>
      <c r="F6" s="133" t="n"/>
    </row>
    <row r="8" ht="26.5" customHeight="1">
      <c r="B8" s="437" t="inlineStr">
        <is>
          <t>Do not edit cells E16-E17</t>
        </is>
      </c>
      <c r="C8" s="458" t="n"/>
      <c r="D8" s="458" t="n"/>
      <c r="E8" s="458" t="n"/>
      <c r="F8" s="457" t="n"/>
    </row>
    <row r="10" ht="16" customHeight="1" thickBot="1">
      <c r="C10" s="60" t="n"/>
      <c r="D10" s="184" t="n"/>
    </row>
    <row r="11" ht="55.5" customHeight="1">
      <c r="B11" s="135" t="n"/>
      <c r="C11" s="136" t="inlineStr">
        <is>
          <t>NON-FOOD NON-HOUSING COSTS</t>
        </is>
      </c>
      <c r="D11" s="137" t="n"/>
      <c r="E11" s="137" t="n"/>
      <c r="F11" s="138" t="n"/>
    </row>
    <row r="12">
      <c r="B12" s="139" t="n"/>
      <c r="F12" s="140" t="n"/>
    </row>
    <row r="13">
      <c r="B13" s="139" t="n"/>
      <c r="D13" s="88" t="inlineStr">
        <is>
          <t>Unit</t>
        </is>
      </c>
      <c r="E13" s="88" t="inlineStr">
        <is>
          <t>Value</t>
        </is>
      </c>
      <c r="F13" s="140" t="n"/>
    </row>
    <row r="14">
      <c r="B14" s="139" t="n"/>
      <c r="F14" s="140" t="n"/>
    </row>
    <row r="15">
      <c r="B15" s="139" t="n"/>
      <c r="C15" s="60" t="inlineStr">
        <is>
          <t>Results for reference sized household</t>
        </is>
      </c>
      <c r="F15" s="140" t="n"/>
    </row>
    <row r="16">
      <c r="B16" s="139" t="n"/>
      <c r="C16" s="22" t="inlineStr">
        <is>
          <t>Non-Food Non Housing cost</t>
        </is>
      </c>
      <c r="D16" s="22" t="inlineStr">
        <is>
          <t>LCU / household / month</t>
        </is>
      </c>
      <c r="E16" s="141">
        <f>IFERROR('Background calculations'!C300,"")</f>
        <v/>
      </c>
      <c r="F16" s="140" t="n"/>
    </row>
    <row r="17">
      <c r="B17" s="139" t="n"/>
      <c r="C17" s="22" t="inlineStr">
        <is>
          <t>Non-Food Non Housing cost</t>
        </is>
      </c>
      <c r="D17" s="22" t="inlineStr">
        <is>
          <t>USD / household / month</t>
        </is>
      </c>
      <c r="E17" s="141">
        <f>IFERROR(E16/'OUTPUT_Living wage'!E10,"")</f>
        <v/>
      </c>
      <c r="F17" s="140" t="n"/>
    </row>
    <row r="18" ht="16" customHeight="1" thickBot="1">
      <c r="B18" s="142" t="n"/>
      <c r="C18" s="143" t="n"/>
      <c r="D18" s="143" t="n"/>
      <c r="E18" s="144" t="n"/>
      <c r="F18" s="145" t="n"/>
    </row>
    <row r="20" ht="21" customHeight="1">
      <c r="B20" s="126" t="inlineStr">
        <is>
          <t>1A) Input CPI weights</t>
        </is>
      </c>
      <c r="C20" s="126" t="n"/>
      <c r="D20" s="28" t="n"/>
      <c r="E20" s="28"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row>
    <row r="21" ht="16" customHeight="1" thickBot="1"/>
    <row r="22" ht="24" customHeight="1">
      <c r="B22" s="135" t="n"/>
      <c r="C22" s="146" t="inlineStr">
        <is>
          <t>CPI Weights</t>
        </is>
      </c>
      <c r="D22" s="137" t="n"/>
      <c r="E22" s="137" t="n"/>
      <c r="F22" s="138" t="n"/>
    </row>
    <row r="23">
      <c r="B23" s="139" t="n"/>
      <c r="F23" s="140" t="n"/>
      <c r="H23" s="147" t="inlineStr">
        <is>
          <t>Source</t>
        </is>
      </c>
      <c r="I23" s="133" t="inlineStr">
        <is>
          <t>Instruction</t>
        </is>
      </c>
      <c r="J23" s="133" t="n"/>
      <c r="K23" s="133" t="n"/>
      <c r="L23" s="133" t="n"/>
      <c r="M23" s="133" t="n"/>
      <c r="N23" s="133" t="n"/>
      <c r="O23" s="133" t="n"/>
      <c r="P23" s="133" t="n"/>
      <c r="Q23" s="133" t="n"/>
      <c r="R23" s="133" t="n"/>
      <c r="S23" s="133" t="n"/>
      <c r="T23" s="133" t="n"/>
      <c r="U23" s="133" t="n"/>
      <c r="V23" s="133" t="n"/>
    </row>
    <row r="24">
      <c r="B24" s="139" t="n"/>
      <c r="C24" s="148" t="inlineStr">
        <is>
          <t>Expenditure category</t>
        </is>
      </c>
      <c r="D24" s="88" t="inlineStr">
        <is>
          <t>National</t>
        </is>
      </c>
      <c r="E24" s="88" t="inlineStr">
        <is>
          <t>Regional</t>
        </is>
      </c>
      <c r="F24" s="140" t="n"/>
      <c r="I24" s="149" t="inlineStr">
        <is>
          <t>For NFNH costs, you can decide if you want to use National or Region-specific information.</t>
        </is>
      </c>
      <c r="J24" s="149" t="n"/>
      <c r="K24" s="149" t="n"/>
      <c r="L24" s="149" t="n"/>
      <c r="M24" s="149" t="n"/>
      <c r="N24" s="149" t="n"/>
      <c r="O24" s="149" t="n"/>
      <c r="P24" s="149" t="n"/>
      <c r="Q24" s="149" t="n"/>
      <c r="R24" s="149" t="n"/>
      <c r="S24" s="149" t="n"/>
      <c r="T24" s="149" t="n"/>
      <c r="U24" s="149" t="n"/>
      <c r="V24" s="149" t="n"/>
    </row>
    <row r="25">
      <c r="B25" s="139" t="n"/>
      <c r="C25" s="22" t="inlineStr">
        <is>
          <t>Food and non-alcoholic beverages</t>
        </is>
      </c>
      <c r="D25" s="150" t="n">
        <v>0.45</v>
      </c>
      <c r="E25" s="150" t="n">
        <v>0.052</v>
      </c>
      <c r="F25" s="140" t="n"/>
      <c r="I25" s="149" t="n"/>
      <c r="J25" s="149" t="n"/>
      <c r="K25" s="149" t="n"/>
      <c r="L25" s="149" t="n"/>
      <c r="M25" s="149" t="n"/>
      <c r="N25" s="149" t="n"/>
      <c r="O25" s="149" t="n"/>
      <c r="P25" s="149" t="n"/>
      <c r="Q25" s="149" t="n"/>
      <c r="R25" s="149" t="n"/>
      <c r="S25" s="149" t="n"/>
      <c r="T25" s="149" t="n"/>
      <c r="U25" s="149" t="n"/>
      <c r="V25" s="149" t="n"/>
    </row>
    <row r="26">
      <c r="B26" s="139" t="n"/>
      <c r="C26" s="22" t="inlineStr">
        <is>
          <t>Alcoholic Beverages, Tobacco, and Narcotics</t>
        </is>
      </c>
      <c r="D26" s="150" t="n">
        <v>0.03</v>
      </c>
      <c r="E26" s="150" t="n">
        <v>0.01</v>
      </c>
      <c r="F26" s="140" t="n"/>
      <c r="H26" s="151" t="inlineStr">
        <is>
          <t>LINK</t>
        </is>
      </c>
      <c r="I26" s="149" t="inlineStr">
        <is>
          <t>For National information, you can collect the CPI Weights (data for cells D25-D37) from the IMF data bank to retrieve the national CPI weights</t>
        </is>
      </c>
      <c r="J26" s="149" t="n"/>
      <c r="K26" s="149" t="n"/>
      <c r="L26" s="149" t="n"/>
      <c r="M26" s="149" t="n"/>
      <c r="N26" s="149" t="n"/>
      <c r="O26" s="149" t="n"/>
      <c r="P26" s="149" t="n"/>
      <c r="Q26" s="149" t="n"/>
      <c r="R26" s="149" t="n"/>
      <c r="S26" s="149" t="n"/>
      <c r="T26" s="149" t="n"/>
      <c r="U26" s="149" t="n"/>
      <c r="V26" s="149" t="n"/>
    </row>
    <row r="27">
      <c r="B27" s="139" t="n"/>
      <c r="C27" s="22" t="inlineStr">
        <is>
          <t>Clothing and footwear</t>
        </is>
      </c>
      <c r="D27" s="150" t="n">
        <v>0.05</v>
      </c>
      <c r="E27" s="150" t="n">
        <v>0.02</v>
      </c>
      <c r="F27" s="140" t="n"/>
      <c r="I27" s="152" t="n"/>
      <c r="J27" s="149" t="n"/>
      <c r="K27" s="149" t="n"/>
      <c r="L27" s="149" t="n"/>
      <c r="M27" s="149" t="n"/>
      <c r="N27" s="149" t="n"/>
      <c r="O27" s="149" t="n"/>
      <c r="P27" s="149" t="n"/>
      <c r="Q27" s="149" t="n"/>
      <c r="R27" s="149" t="n"/>
      <c r="S27" s="149" t="n"/>
      <c r="T27" s="149" t="n"/>
      <c r="U27" s="149" t="n"/>
      <c r="V27" s="149" t="n"/>
    </row>
    <row r="28">
      <c r="B28" s="139" t="n"/>
      <c r="C28" s="22" t="inlineStr">
        <is>
          <t>Housing, Water, Electricity, Gas and Other Fuels</t>
        </is>
      </c>
      <c r="D28" s="150" t="n">
        <v>0.104</v>
      </c>
      <c r="E28" s="150" t="n">
        <v>0.02</v>
      </c>
      <c r="F28" s="140" t="n"/>
      <c r="I28" s="399" t="inlineStr">
        <is>
          <t>To increase the accuracy of the benchmark, if available, you can use region-specific CPI weights. There is no global database that contains regional CPI weights. Regional CPI weights can be retrieved from local goverenments agenices, national household survey reports or other localized reports.</t>
        </is>
      </c>
      <c r="J28" s="22" t="n"/>
      <c r="K28" s="22" t="n"/>
      <c r="L28" s="22" t="n"/>
      <c r="M28" s="22" t="n"/>
      <c r="N28" s="22" t="n"/>
      <c r="O28" s="22" t="n"/>
      <c r="P28" s="22" t="n"/>
      <c r="Q28" s="22" t="n"/>
      <c r="R28" s="22" t="n"/>
      <c r="S28" s="22" t="n"/>
      <c r="T28" s="22" t="n"/>
      <c r="U28" s="22" t="n"/>
      <c r="V28" s="22" t="n"/>
    </row>
    <row r="29">
      <c r="B29" s="139" t="n"/>
      <c r="C29" s="22" t="inlineStr">
        <is>
          <t>Furnishings, household equipment and routine household maintenance</t>
        </is>
      </c>
      <c r="D29" s="150" t="n">
        <v>0.03</v>
      </c>
      <c r="E29" s="150" t="n">
        <v>0.02</v>
      </c>
      <c r="F29" s="140" t="n"/>
      <c r="I29" s="22" t="n"/>
      <c r="J29" s="22" t="n"/>
      <c r="K29" s="22" t="n"/>
      <c r="L29" s="22" t="n"/>
      <c r="M29" s="22" t="n"/>
      <c r="N29" s="22" t="n"/>
      <c r="O29" s="22" t="n"/>
      <c r="P29" s="22" t="n"/>
      <c r="Q29" s="22" t="n"/>
      <c r="R29" s="22" t="n"/>
      <c r="S29" s="22" t="n"/>
      <c r="T29" s="22" t="n"/>
      <c r="U29" s="22" t="n"/>
      <c r="V29" s="22" t="n"/>
    </row>
    <row r="30">
      <c r="B30" s="139" t="n"/>
      <c r="C30" s="22" t="inlineStr">
        <is>
          <t>Health</t>
        </is>
      </c>
      <c r="D30" s="150" t="n">
        <v>0.037</v>
      </c>
      <c r="E30" s="150" t="n">
        <v>0.04</v>
      </c>
      <c r="F30" s="140" t="n"/>
      <c r="I30" s="22" t="n"/>
      <c r="J30" s="22" t="n"/>
      <c r="K30" s="22" t="n"/>
      <c r="L30" s="22" t="n"/>
      <c r="M30" s="22" t="n"/>
      <c r="N30" s="22" t="n"/>
      <c r="O30" s="22" t="n"/>
      <c r="P30" s="22" t="n"/>
      <c r="Q30" s="22" t="n"/>
      <c r="R30" s="22" t="n"/>
      <c r="S30" s="22" t="n"/>
      <c r="T30" s="22" t="n"/>
      <c r="U30" s="22" t="n"/>
      <c r="V30" s="22" t="n"/>
    </row>
    <row r="31">
      <c r="B31" s="139" t="n"/>
      <c r="C31" s="22" t="inlineStr">
        <is>
          <t>Transport</t>
        </is>
      </c>
      <c r="D31" s="150" t="n">
        <v>0.04</v>
      </c>
      <c r="E31" s="150" t="n">
        <v>0.03</v>
      </c>
      <c r="F31" s="140" t="n"/>
      <c r="I31" s="22" t="n"/>
      <c r="J31" s="22" t="n"/>
      <c r="K31" s="22" t="n"/>
      <c r="L31" s="22" t="n"/>
      <c r="M31" s="22" t="n"/>
      <c r="N31" s="22" t="n"/>
      <c r="O31" s="22" t="n"/>
      <c r="P31" s="22" t="n"/>
      <c r="Q31" s="22" t="n"/>
      <c r="R31" s="22" t="n"/>
      <c r="S31" s="22" t="n"/>
      <c r="T31" s="22" t="n"/>
      <c r="U31" s="22" t="n"/>
      <c r="V31" s="22" t="n"/>
    </row>
    <row r="32">
      <c r="B32" s="139" t="n"/>
      <c r="C32" s="22" t="inlineStr">
        <is>
          <t>Communication</t>
        </is>
      </c>
      <c r="D32" s="150" t="n">
        <v>0.06</v>
      </c>
      <c r="E32" s="150" t="n">
        <v>0.03</v>
      </c>
      <c r="F32" s="140" t="n"/>
    </row>
    <row r="33">
      <c r="B33" s="139" t="n"/>
      <c r="C33" s="22" t="inlineStr">
        <is>
          <t>Recreation and culture</t>
        </is>
      </c>
      <c r="D33" s="150" t="n">
        <v>0.05</v>
      </c>
      <c r="E33" s="150" t="n">
        <v>0.01</v>
      </c>
      <c r="F33" s="140" t="n"/>
    </row>
    <row r="34">
      <c r="B34" s="139" t="n"/>
      <c r="C34" s="22" t="inlineStr">
        <is>
          <t>Education</t>
        </is>
      </c>
      <c r="D34" s="150" t="n">
        <v>0.018</v>
      </c>
      <c r="E34" s="150" t="n">
        <v>0.06</v>
      </c>
      <c r="F34" s="140" t="n"/>
    </row>
    <row r="35">
      <c r="B35" s="139" t="n"/>
      <c r="C35" s="22" t="inlineStr">
        <is>
          <t>Restaurants and hotels</t>
        </is>
      </c>
      <c r="D35" s="150" t="n">
        <v>0.067</v>
      </c>
      <c r="E35" s="150" t="n">
        <v>0.06</v>
      </c>
      <c r="F35" s="140" t="n"/>
    </row>
    <row r="36">
      <c r="B36" s="139" t="n"/>
      <c r="C36" s="22" t="inlineStr">
        <is>
          <t>Miscellaneous goods and services</t>
        </is>
      </c>
      <c r="D36" s="150" t="n">
        <v>0.023</v>
      </c>
      <c r="E36" s="150" t="n">
        <v>0.18</v>
      </c>
      <c r="F36" s="140" t="n"/>
    </row>
    <row r="37">
      <c r="B37" s="139" t="n"/>
      <c r="C37" s="153" t="inlineStr">
        <is>
          <t>Non-consumption expenditures</t>
        </is>
      </c>
      <c r="D37" s="150" t="n">
        <v>0.044</v>
      </c>
      <c r="E37" s="150" t="n">
        <v>0.02</v>
      </c>
      <c r="F37" s="140" t="n"/>
    </row>
    <row r="38">
      <c r="B38" s="139" t="n"/>
      <c r="F38" s="140" t="n"/>
    </row>
    <row r="39">
      <c r="B39" s="139" t="n"/>
      <c r="F39" s="140" t="n"/>
    </row>
    <row r="40">
      <c r="B40" s="139" t="n"/>
      <c r="C40" s="60" t="inlineStr">
        <is>
          <t>CPI Weights to use (national or regional)</t>
        </is>
      </c>
      <c r="D40" s="154" t="inlineStr">
        <is>
          <t>National</t>
        </is>
      </c>
      <c r="F40" s="140" t="n"/>
      <c r="I40" s="149" t="inlineStr">
        <is>
          <t>IMPORTANT: Make sure that cell D40 displays the type of CPI weights you want to use for the model (National or Regional)</t>
        </is>
      </c>
      <c r="J40" s="149" t="n"/>
      <c r="K40" s="149" t="n"/>
      <c r="L40" s="149" t="n"/>
      <c r="M40" s="149" t="n"/>
      <c r="N40" s="149" t="n"/>
      <c r="O40" s="149" t="n"/>
      <c r="P40" s="149" t="n"/>
      <c r="Q40" s="149" t="n"/>
      <c r="R40" s="149" t="n"/>
      <c r="S40" s="149" t="n"/>
      <c r="T40" s="149" t="n"/>
      <c r="U40" s="149" t="n"/>
      <c r="V40" s="149" t="n"/>
    </row>
    <row r="41" ht="16" customHeight="1" thickBot="1">
      <c r="B41" s="142" t="n"/>
      <c r="C41" s="143" t="n"/>
      <c r="D41" s="143" t="n"/>
      <c r="E41" s="143" t="n"/>
      <c r="F41" s="145" t="n"/>
    </row>
    <row r="44">
      <c r="F44" s="184" t="n"/>
    </row>
    <row r="45">
      <c r="F45" s="184" t="n"/>
    </row>
  </sheetData>
  <mergeCells count="2">
    <mergeCell ref="I28:V31"/>
    <mergeCell ref="B8:F8"/>
  </mergeCells>
  <dataValidations count="1">
    <dataValidation sqref="D40" showDropDown="0" showInputMessage="1" showErrorMessage="1" allowBlank="1" type="list">
      <formula1>$D$24:$E$24</formula1>
    </dataValidation>
  </dataValidations>
  <hyperlinks>
    <hyperlink xmlns:r="http://schemas.openxmlformats.org/officeDocument/2006/relationships" ref="H26" r:id="rId1"/>
  </hyperlinks>
  <pageMargins left="0.7" right="0.7" top="0.75" bottom="0.75" header="0.3" footer="0.3"/>
  <pageSetup orientation="portrait"/>
  <drawing xmlns:r="http://schemas.openxmlformats.org/officeDocument/2006/relationships" r:id="rId2"/>
</worksheet>
</file>

<file path=xl/worksheets/sheet11.xml><?xml version="1.0" encoding="utf-8"?>
<worksheet xmlns="http://schemas.openxmlformats.org/spreadsheetml/2006/main">
  <sheetPr>
    <tabColor theme="3"/>
    <outlinePr summaryBelow="1" summaryRight="1"/>
    <pageSetUpPr/>
  </sheetPr>
  <dimension ref="A2:T68"/>
  <sheetViews>
    <sheetView showGridLines="0" zoomScale="93" zoomScaleNormal="85" workbookViewId="0">
      <selection activeCell="D25" sqref="D25"/>
    </sheetView>
  </sheetViews>
  <sheetFormatPr baseColWidth="10" defaultColWidth="8.83203125" defaultRowHeight="15"/>
  <cols>
    <col width="8.83203125" customWidth="1" style="22" min="1" max="1"/>
    <col width="51.5" customWidth="1" style="22" min="2" max="2"/>
    <col width="29.5" customWidth="1" style="22" min="3" max="3"/>
    <col width="27.83203125" customWidth="1" style="22" min="4" max="4"/>
    <col width="61.1640625" bestFit="1" customWidth="1" style="22" min="5" max="5"/>
    <col width="16.5" customWidth="1" style="22" min="6" max="9"/>
    <col width="19.5" customWidth="1" style="22" min="10" max="10"/>
    <col width="32.83203125" customWidth="1" style="22" min="11" max="11"/>
    <col width="39.5" customWidth="1" style="22" min="12" max="12"/>
    <col width="26.5" customWidth="1" style="22" min="13" max="13"/>
    <col width="19.5" customWidth="1" style="22" min="14" max="14"/>
    <col width="23.5" customWidth="1" style="22" min="15" max="16"/>
    <col width="8.83203125" customWidth="1" style="22" min="17" max="17"/>
    <col width="11.5" customWidth="1" style="22" min="18" max="18"/>
    <col width="17.83203125" customWidth="1" style="22" min="19" max="19"/>
    <col width="8.83203125" customWidth="1" style="22" min="20" max="16384"/>
  </cols>
  <sheetData>
    <row r="2" ht="31" customHeight="1">
      <c r="B2" s="118" t="inlineStr">
        <is>
          <t>Income tax</t>
        </is>
      </c>
      <c r="T2" s="486" t="n"/>
    </row>
    <row r="3">
      <c r="T3" s="59" t="n"/>
    </row>
    <row r="4">
      <c r="T4" s="59" t="n"/>
    </row>
    <row r="5" ht="21" customHeight="1">
      <c r="B5" s="120" t="inlineStr">
        <is>
          <t>1) ESTIMATE INCOME TAXES</t>
        </is>
      </c>
      <c r="C5" s="121" t="n"/>
      <c r="D5" s="122" t="n"/>
      <c r="E5" s="122" t="n"/>
      <c r="F5" s="122" t="n"/>
      <c r="G5" s="122" t="n"/>
      <c r="H5" s="122" t="n"/>
      <c r="I5" s="122" t="n"/>
      <c r="J5" s="122" t="n"/>
      <c r="K5" s="122" t="n"/>
      <c r="T5" s="59" t="n"/>
    </row>
    <row r="6">
      <c r="T6" s="486" t="n"/>
    </row>
    <row r="7">
      <c r="B7" s="23" t="inlineStr">
        <is>
          <t>Guidance</t>
        </is>
      </c>
      <c r="T7" s="486" t="n"/>
    </row>
    <row r="8" ht="64.5" customHeight="1">
      <c r="B8" s="434" t="inlineStr">
        <is>
          <t>solver expalanation</t>
        </is>
      </c>
      <c r="C8" s="22" t="n"/>
      <c r="D8" s="22" t="n"/>
      <c r="E8" s="22" t="n"/>
      <c r="F8" s="22" t="n"/>
      <c r="G8" s="22" t="n"/>
      <c r="H8" s="22" t="n"/>
      <c r="I8" s="22" t="n"/>
      <c r="J8" s="22" t="n"/>
      <c r="K8" s="22" t="n"/>
      <c r="T8" s="486" t="n"/>
    </row>
    <row r="9">
      <c r="T9" s="486" t="n"/>
    </row>
    <row r="10">
      <c r="T10" s="486" t="n"/>
    </row>
    <row r="11">
      <c r="B11" s="123" t="n"/>
      <c r="C11" s="92" t="inlineStr">
        <is>
          <t>Unit</t>
        </is>
      </c>
      <c r="D11" s="50" t="inlineStr">
        <is>
          <t>Value</t>
        </is>
      </c>
      <c r="T11" s="486" t="n"/>
    </row>
    <row r="12">
      <c r="B12" s="22" t="inlineStr">
        <is>
          <t>Monthly NET living wage</t>
        </is>
      </c>
      <c r="C12" s="22" t="inlineStr">
        <is>
          <t>LCU/month</t>
        </is>
      </c>
      <c r="D12" s="334">
        <f>+'OUTPUT_Living wage'!E35</f>
        <v/>
      </c>
      <c r="T12" s="486" t="n"/>
    </row>
    <row r="13">
      <c r="D13" s="65" t="n"/>
      <c r="E13" s="60" t="n"/>
      <c r="T13" s="486" t="n"/>
    </row>
    <row r="14" ht="32" customHeight="1">
      <c r="B14" s="31" t="inlineStr">
        <is>
          <t>Annual NET living wage (which should be equal to the amount the would get from work)</t>
        </is>
      </c>
      <c r="C14" s="65" t="inlineStr">
        <is>
          <t>LCU/year</t>
        </is>
      </c>
      <c r="D14" s="124">
        <f>IFERROR(D12*12,"")</f>
        <v/>
      </c>
      <c r="N14" s="125" t="n"/>
      <c r="T14" s="486" t="n"/>
    </row>
    <row r="15">
      <c r="B15" s="31" t="n"/>
      <c r="C15" s="65" t="n"/>
      <c r="D15" s="65" t="n"/>
      <c r="N15" s="335" t="n"/>
      <c r="T15" s="486" t="n"/>
    </row>
    <row r="16">
      <c r="D16" s="336" t="n"/>
      <c r="T16" s="486" t="n"/>
    </row>
    <row r="17" ht="16" customHeight="1">
      <c r="B17" s="185" t="inlineStr">
        <is>
          <t>Income tax based on NET</t>
        </is>
      </c>
      <c r="C17" s="65" t="inlineStr">
        <is>
          <t>LCU/year</t>
        </is>
      </c>
      <c r="D17" s="124">
        <f>IFERROR((D$14-INDEX($E$45:$E$53,MATCH(VLOOKUP(D$14,$C$46:$I$53,$I$44,1),$I$45:$I$53,0)))*VLOOKUP(D$14,$C$46:$I$53,$G$44,1)+INDEX($I$45:$I$53,MATCH(VLOOKUP(D$14,$C$46:$I$53,$I$44,1),$I$45:$I$53,0))+SUM(J46:J53),"")</f>
        <v/>
      </c>
      <c r="E17" s="487" t="n"/>
      <c r="G17" s="125" t="n"/>
      <c r="T17" s="486" t="n"/>
    </row>
    <row r="18">
      <c r="D18" s="65" t="n"/>
      <c r="T18" s="486" t="n"/>
    </row>
    <row r="19">
      <c r="B19" s="22" t="inlineStr">
        <is>
          <t>Gross WAGE</t>
        </is>
      </c>
      <c r="C19" s="65" t="inlineStr">
        <is>
          <t>LCU/year</t>
        </is>
      </c>
      <c r="D19" s="338" t="n">
        <v>18095287.91844643</v>
      </c>
      <c r="E19" s="339" t="inlineStr">
        <is>
          <t>solver variable</t>
        </is>
      </c>
      <c r="F19" s="488" t="n"/>
      <c r="G19" s="125" t="n"/>
      <c r="T19" s="486" t="n"/>
    </row>
    <row r="20" ht="16" customHeight="1" thickBot="1">
      <c r="C20" s="65" t="n"/>
      <c r="T20" s="486" t="n"/>
    </row>
    <row r="21" ht="25.75" customHeight="1" thickBot="1">
      <c r="B21" s="341" t="inlineStr">
        <is>
          <t>Annual income tax</t>
        </is>
      </c>
      <c r="C21" s="342" t="inlineStr">
        <is>
          <t>LCU/year</t>
        </is>
      </c>
      <c r="D21" s="343">
        <f>IFERROR((D$19-INDEX($E$45:$E$53,MATCH(VLOOKUP(D$19,$C$46:$I$53,$I$44,1),$I$45:$I$53,0)))*VLOOKUP(D$19,$C$46:$I$53,$G$44,1)+INDEX($I$45:$I$53,MATCH(VLOOKUP(D$19,$C$46:$I$53,$I$44,1),$I$45:$I$53,0))+SUM(J46:J53),"")</f>
        <v/>
      </c>
      <c r="G21" s="489" t="n"/>
      <c r="T21" s="486" t="n"/>
    </row>
    <row r="22" ht="16" customHeight="1" thickBot="1">
      <c r="D22" s="65" t="n"/>
      <c r="F22" s="345" t="n"/>
      <c r="G22" s="345" t="n"/>
      <c r="T22" s="486" t="n"/>
    </row>
    <row r="23" ht="25.75" customHeight="1" thickBot="1">
      <c r="B23" s="341" t="inlineStr">
        <is>
          <t>Monthly incomre tax</t>
        </is>
      </c>
      <c r="C23" s="342" t="inlineStr">
        <is>
          <t>LCU/month</t>
        </is>
      </c>
      <c r="D23" s="343">
        <f>D21/12</f>
        <v/>
      </c>
      <c r="T23" s="486" t="n"/>
    </row>
    <row r="24">
      <c r="D24" s="65" t="n"/>
      <c r="F24" s="345" t="n"/>
      <c r="G24" s="345" t="n"/>
      <c r="T24" s="486" t="n"/>
    </row>
    <row r="25">
      <c r="B25" s="346" t="inlineStr">
        <is>
          <t>Solve to 0</t>
        </is>
      </c>
      <c r="C25" s="346" t="n"/>
      <c r="D25" s="490">
        <f>D19-D21-D14</f>
        <v/>
      </c>
      <c r="E25" t="inlineStr">
        <is>
          <t>cell to solve --&gt; value of 0 (highlight cell and run the solver add in)</t>
        </is>
      </c>
      <c r="F25" s="345" t="n"/>
      <c r="G25" s="345" t="n"/>
      <c r="T25" s="486" t="n"/>
    </row>
    <row r="26">
      <c r="D26" s="65" t="n"/>
      <c r="F26" s="345" t="n"/>
      <c r="G26" s="345" t="n"/>
      <c r="H26" s="125" t="n"/>
      <c r="T26" s="486" t="n"/>
    </row>
    <row r="27">
      <c r="B27" s="26" t="inlineStr">
        <is>
          <t>Tax rates</t>
        </is>
      </c>
      <c r="C27" s="92" t="inlineStr">
        <is>
          <t>Unit</t>
        </is>
      </c>
      <c r="F27" s="345" t="n"/>
      <c r="G27" s="345" t="n"/>
      <c r="H27" s="125" t="n"/>
      <c r="T27" s="486" t="n"/>
    </row>
    <row r="28">
      <c r="B28" s="22" t="inlineStr">
        <is>
          <t>Marginal rate</t>
        </is>
      </c>
      <c r="C28" s="22" t="inlineStr">
        <is>
          <t>%</t>
        </is>
      </c>
      <c r="D28" s="189">
        <f>_xlfn.IFNA(VLOOKUP(D$19,$E$46:$I$53,3,1),"")</f>
        <v/>
      </c>
      <c r="F28" s="345" t="n"/>
      <c r="G28" s="345" t="n"/>
      <c r="T28" s="486" t="n"/>
    </row>
    <row r="29">
      <c r="B29" s="22" t="inlineStr">
        <is>
          <t>Effective rate</t>
        </is>
      </c>
      <c r="C29" s="22" t="inlineStr">
        <is>
          <t>%</t>
        </is>
      </c>
      <c r="D29" s="189">
        <f>IFERROR(D21/D14,"")</f>
        <v/>
      </c>
      <c r="F29" s="345" t="n"/>
      <c r="G29" s="345" t="n"/>
      <c r="T29" s="486" t="n"/>
    </row>
    <row r="30">
      <c r="D30" s="22" t="inlineStr">
        <is>
          <t>.</t>
        </is>
      </c>
      <c r="F30" s="345" t="n"/>
      <c r="G30" s="345" t="n"/>
      <c r="T30" s="486" t="n"/>
    </row>
    <row r="31">
      <c r="D31" s="65" t="n"/>
      <c r="F31" s="345" t="n"/>
      <c r="G31" s="345" t="n"/>
      <c r="T31" s="486" t="n"/>
    </row>
    <row r="32">
      <c r="T32" s="486" t="n"/>
    </row>
    <row r="33" ht="21" customHeight="1">
      <c r="B33" s="126" t="inlineStr">
        <is>
          <t>1A) Retrieve data on income taxes</t>
        </is>
      </c>
      <c r="C33" s="28" t="n"/>
      <c r="D33" s="126" t="n"/>
      <c r="E33" s="28" t="n"/>
      <c r="F33" s="126" t="n"/>
      <c r="G33" s="126" t="n"/>
      <c r="H33" s="28" t="n"/>
      <c r="I33" s="28" t="n"/>
      <c r="J33" s="126" t="n"/>
      <c r="K33" s="28" t="n"/>
      <c r="T33" s="486" t="n"/>
    </row>
    <row r="34">
      <c r="T34" s="486" t="n"/>
    </row>
    <row r="35">
      <c r="B35" s="23" t="inlineStr">
        <is>
          <t>Guidance</t>
        </is>
      </c>
      <c r="T35" s="486" t="n"/>
    </row>
    <row r="36" ht="62.25" customHeight="1">
      <c r="B36" s="434" t="inlineStr">
        <is>
          <t>In the table below, you need to insert information on from tax autorities related to (1) taxable income levels (2) rates of taxations (3) low and high bound (4) tax rate (5) Fixed amount
Use governamental sources to retrieve this information (e.g. governamental websites, governamental reports, etc)</t>
        </is>
      </c>
      <c r="C36" s="22" t="n"/>
      <c r="D36" s="22" t="n"/>
      <c r="E36" s="22" t="n"/>
      <c r="F36" s="22" t="n"/>
      <c r="G36" s="22" t="n"/>
      <c r="H36" s="22" t="n"/>
      <c r="I36" s="22" t="n"/>
      <c r="J36" s="22" t="n"/>
      <c r="K36" s="22" t="n"/>
      <c r="T36" s="486" t="n"/>
    </row>
    <row r="37">
      <c r="T37" s="59" t="n"/>
    </row>
    <row r="38" ht="7.75" customHeight="1">
      <c r="B38" s="206" t="n"/>
      <c r="C38" s="206" t="n"/>
      <c r="D38" s="206" t="n"/>
      <c r="E38" s="206" t="n"/>
      <c r="F38" s="206" t="n"/>
      <c r="G38" s="206" t="n"/>
      <c r="H38" s="206" t="n"/>
      <c r="I38" s="206" t="n"/>
      <c r="J38" s="206" t="n"/>
      <c r="K38" s="206" t="n"/>
      <c r="T38" s="59" t="n"/>
    </row>
    <row r="39">
      <c r="B39" s="37" t="inlineStr">
        <is>
          <t>Sources</t>
        </is>
      </c>
      <c r="C39" s="206" t="n"/>
      <c r="D39" s="206" t="n"/>
      <c r="E39" s="206" t="n"/>
      <c r="F39" s="206" t="n"/>
      <c r="G39" s="206" t="n"/>
      <c r="H39" s="206" t="n"/>
      <c r="I39" s="206" t="n"/>
      <c r="J39" s="206" t="n"/>
      <c r="K39" s="206" t="n"/>
      <c r="T39" s="59" t="n"/>
    </row>
    <row r="40">
      <c r="B40" s="206" t="inlineStr">
        <is>
          <t>Source 1</t>
        </is>
      </c>
      <c r="C40" s="206" t="n"/>
      <c r="D40" s="206" t="n"/>
      <c r="E40" s="206" t="n"/>
      <c r="F40" s="206" t="n"/>
      <c r="G40" s="206" t="n"/>
      <c r="H40" s="206" t="n"/>
      <c r="I40" s="206" t="n"/>
      <c r="J40" s="206" t="n"/>
      <c r="K40" s="206" t="n"/>
      <c r="T40" s="59" t="n"/>
    </row>
    <row r="41">
      <c r="B41" s="206" t="inlineStr">
        <is>
          <t>Source 2</t>
        </is>
      </c>
      <c r="C41" s="206" t="n"/>
      <c r="D41" s="206" t="n"/>
      <c r="E41" s="206" t="n"/>
      <c r="F41" s="206" t="n"/>
      <c r="G41" s="206" t="n"/>
      <c r="H41" s="206" t="n"/>
      <c r="I41" s="206" t="n"/>
      <c r="J41" s="206" t="n"/>
      <c r="K41" s="206" t="n"/>
      <c r="T41" s="59" t="n"/>
    </row>
    <row r="42">
      <c r="B42" s="206" t="n"/>
      <c r="C42" s="206" t="n"/>
      <c r="D42" s="206" t="n"/>
      <c r="E42" s="206" t="n"/>
      <c r="F42" s="206" t="n"/>
      <c r="G42" s="206" t="n"/>
      <c r="H42" s="206" t="n"/>
      <c r="I42" s="206" t="n"/>
      <c r="J42" s="206" t="n"/>
      <c r="K42" s="206" t="n"/>
      <c r="T42" s="59" t="n"/>
    </row>
    <row r="43">
      <c r="T43" s="486" t="n"/>
    </row>
    <row r="44">
      <c r="B44" s="22" t="inlineStr">
        <is>
          <t>General Tax</t>
        </is>
      </c>
      <c r="C44" s="22" t="n">
        <v>1</v>
      </c>
      <c r="D44" s="22">
        <f>C44+1</f>
        <v/>
      </c>
      <c r="E44" s="22">
        <f>D44+1</f>
        <v/>
      </c>
      <c r="F44" s="22">
        <f>E44+1</f>
        <v/>
      </c>
      <c r="G44" s="22">
        <f>F44+1</f>
        <v/>
      </c>
      <c r="H44" s="22">
        <f>G44+1</f>
        <v/>
      </c>
      <c r="I44" s="22">
        <f>H44+1</f>
        <v/>
      </c>
      <c r="J44" s="22">
        <f>I44+1</f>
        <v/>
      </c>
      <c r="K44" s="22" t="n">
        <v>9</v>
      </c>
      <c r="T44" s="486" t="n"/>
    </row>
    <row r="45" ht="40.5" customFormat="1" customHeight="1" s="31">
      <c r="B45" s="348" t="inlineStr">
        <is>
          <t>​Taxable income bands (text)</t>
        </is>
      </c>
      <c r="C45" s="349" t="inlineStr">
        <is>
          <t>Low bound</t>
        </is>
      </c>
      <c r="D45" s="349" t="inlineStr">
        <is>
          <t>High bound</t>
        </is>
      </c>
      <c r="E45" s="349" t="inlineStr">
        <is>
          <t>Income</t>
        </is>
      </c>
      <c r="F45" s="349" t="inlineStr">
        <is>
          <t>Taxable income</t>
        </is>
      </c>
      <c r="G45" s="349" t="inlineStr">
        <is>
          <t>Tax rate</t>
        </is>
      </c>
      <c r="H45" s="349" t="inlineStr">
        <is>
          <t>Taxed amount</t>
        </is>
      </c>
      <c r="I45" s="349" t="inlineStr">
        <is>
          <t>Cumulative tax</t>
        </is>
      </c>
      <c r="J45" s="349" t="inlineStr">
        <is>
          <t>Fixed amount</t>
        </is>
      </c>
      <c r="K45" s="349" t="inlineStr">
        <is>
          <t>Description / Source</t>
        </is>
      </c>
      <c r="T45" s="491" t="n"/>
    </row>
    <row r="46" ht="33" customHeight="1">
      <c r="B46" s="351">
        <f>+"From LCU "&amp;C46&amp;"  to LCU "&amp;D46</f>
        <v/>
      </c>
      <c r="C46" s="127" t="n">
        <v>235001</v>
      </c>
      <c r="D46" s="127" t="n">
        <v>335000</v>
      </c>
      <c r="E46" s="352">
        <f>C46</f>
        <v/>
      </c>
      <c r="F46" s="352">
        <f>IF($D$19&lt;C46,0,IF($D$19&gt;D46,D46-C46,$D$19-C46))</f>
        <v/>
      </c>
      <c r="G46" s="128" t="n">
        <v>0</v>
      </c>
      <c r="H46" s="353">
        <f>IF($D$19&lt;C46,0,IF($D$19&gt;D46,F46*G46,($D$19-C46)*G46))</f>
        <v/>
      </c>
      <c r="I46" s="352" t="n">
        <v>0</v>
      </c>
      <c r="J46" s="127" t="n"/>
      <c r="L46" s="354" t="n"/>
      <c r="M46" s="354" t="n"/>
      <c r="T46" s="486" t="n"/>
    </row>
    <row r="47" ht="33" customHeight="1">
      <c r="B47" s="351">
        <f>+"From LCU "&amp;C47&amp;"  to LCU "&amp;D47</f>
        <v/>
      </c>
      <c r="C47" s="127" t="n">
        <v>335001</v>
      </c>
      <c r="D47" s="127" t="n">
        <v>410000</v>
      </c>
      <c r="E47" s="352">
        <f>D46</f>
        <v/>
      </c>
      <c r="F47" s="352">
        <f>IF($D$19&lt;C47,0,IF($D$19&gt;D47,D47-C47,$D$19-C47))</f>
        <v/>
      </c>
      <c r="G47" s="128" t="n">
        <v>0.05</v>
      </c>
      <c r="H47" s="353">
        <f>IF($D$19&lt;C47,0,IF($D$19&gt;D47,F47*G47,($D$19-C47)*G47))</f>
        <v/>
      </c>
      <c r="I47" s="352">
        <f>0.0001+(D46-C46)*G46+I46</f>
        <v/>
      </c>
      <c r="J47" s="355" t="n"/>
      <c r="K47" s="356" t="n"/>
      <c r="T47" s="59" t="n"/>
    </row>
    <row r="48" ht="33" customHeight="1">
      <c r="B48" s="351">
        <f>+"From LCU "&amp;C48&amp;"  to LCU "&amp;D48</f>
        <v/>
      </c>
      <c r="C48" s="127" t="n">
        <v>410001</v>
      </c>
      <c r="D48" s="127" t="n">
        <v>10000000</v>
      </c>
      <c r="E48" s="352">
        <f>D47</f>
        <v/>
      </c>
      <c r="F48" s="352">
        <f>IF($D$19&lt;C48,0,IF($D$19&gt;D48,D48-C48,$D$19-C48))</f>
        <v/>
      </c>
      <c r="G48" s="128" t="n">
        <v>0.1</v>
      </c>
      <c r="H48" s="353">
        <f>IF($D$19&lt;C48,0,IF($D$19&gt;D48,F48*G48,($D$19-C48)*G48))</f>
        <v/>
      </c>
      <c r="I48" s="352">
        <f>0.0001+(D47-C47)*G47+I47</f>
        <v/>
      </c>
      <c r="J48" s="355" t="n"/>
      <c r="K48" s="356" t="n"/>
      <c r="L48" s="354" t="n"/>
      <c r="M48" s="354" t="n"/>
      <c r="T48" s="59" t="n"/>
    </row>
    <row r="49" ht="33" customHeight="1">
      <c r="B49" s="351">
        <f>+"From LCU "&amp;C49&amp;"  to LCU "&amp;D49</f>
        <v/>
      </c>
      <c r="C49" s="127" t="n"/>
      <c r="D49" s="127" t="n"/>
      <c r="E49" s="352">
        <f>D48</f>
        <v/>
      </c>
      <c r="F49" s="352">
        <f>IF($D$19&lt;C49,0,IF($D$19&gt;D49,D49-C49,$D$19-C49))</f>
        <v/>
      </c>
      <c r="G49" s="128" t="n">
        <v>0.15</v>
      </c>
      <c r="H49" s="353">
        <f>IF($D$19&lt;C49,0,IF($D$19&gt;D49,F49*G49,($D$19-C49)*G49))</f>
        <v/>
      </c>
      <c r="I49" s="352">
        <f>0.0001+(D48-C48)*G48+I48</f>
        <v/>
      </c>
      <c r="J49" s="355" t="n"/>
      <c r="K49" s="356" t="n"/>
      <c r="M49" s="492" t="n"/>
      <c r="T49" s="486" t="n"/>
    </row>
    <row r="50" ht="33" customHeight="1">
      <c r="B50" s="351">
        <f>+"From LCU "&amp;C50&amp;"  to LCU "&amp;D50</f>
        <v/>
      </c>
      <c r="C50" s="127" t="n"/>
      <c r="D50" s="127" t="n"/>
      <c r="E50" s="352">
        <f>D49</f>
        <v/>
      </c>
      <c r="F50" s="352">
        <f>IF($D$19&lt;C50,0,IF($D$19&gt;D50,D50-C50,$D$19-C50))</f>
        <v/>
      </c>
      <c r="G50" s="128" t="n">
        <v>0.2</v>
      </c>
      <c r="H50" s="353">
        <f>IF($D$19&lt;C50,0,IF($D$19&gt;D50,F50*G50,($D$19-C50)*G50))</f>
        <v/>
      </c>
      <c r="I50" s="352">
        <f>0.0001+(D49-C49)*G49+I49</f>
        <v/>
      </c>
      <c r="J50" s="355" t="n"/>
      <c r="K50" s="356" t="n"/>
      <c r="M50" s="492" t="n"/>
      <c r="T50" s="486" t="n"/>
    </row>
    <row r="51" ht="33" customHeight="1">
      <c r="B51" s="351">
        <f>+"From LCU "&amp;C51&amp;"  to LCU "&amp;D51</f>
        <v/>
      </c>
      <c r="C51" s="127" t="n"/>
      <c r="D51" s="127" t="n"/>
      <c r="E51" s="352">
        <f>D50</f>
        <v/>
      </c>
      <c r="F51" s="352">
        <f>IF($D$19&lt;C51,0,IF($D$19&gt;D51,D51-C51,$D$19-C51))</f>
        <v/>
      </c>
      <c r="G51" s="128" t="n">
        <v>0.25</v>
      </c>
      <c r="H51" s="353">
        <f>IF($D$19&lt;C51,0,IF($D$19&gt;D51,F51*G51,($D$19-C51)*G51))</f>
        <v/>
      </c>
      <c r="I51" s="352">
        <f>0.0001+(D50-C50)*G50+I50</f>
        <v/>
      </c>
      <c r="J51" s="355" t="n"/>
      <c r="K51" s="356" t="n"/>
      <c r="M51" s="492" t="n"/>
      <c r="T51" s="486" t="n"/>
    </row>
    <row r="52" ht="33" customHeight="1">
      <c r="B52" s="351">
        <f>+"From LCU "&amp;C52&amp;"  to LCU "&amp;D52</f>
        <v/>
      </c>
      <c r="C52" s="127" t="n"/>
      <c r="D52" s="127" t="n"/>
      <c r="E52" s="352">
        <f>D51</f>
        <v/>
      </c>
      <c r="F52" s="352">
        <f>IF($D$19&lt;C52,0,IF($D$19&gt;D52,D52-C52,$D$19-C52))</f>
        <v/>
      </c>
      <c r="G52" s="128" t="n">
        <v>0.3</v>
      </c>
      <c r="H52" s="353">
        <f>IF($D$19&lt;C52,0,IF($D$19&gt;D52,F52*G52,($D$19-C52)*G52))</f>
        <v/>
      </c>
      <c r="I52" s="352">
        <f>0.0001+(D51-C51)*G51+I51</f>
        <v/>
      </c>
      <c r="J52" s="355" t="n"/>
      <c r="K52" s="356" t="n"/>
      <c r="M52" s="492" t="n"/>
      <c r="T52" s="486" t="n"/>
    </row>
    <row r="53" ht="33" customHeight="1">
      <c r="B53" s="351">
        <f>+"From LCU "&amp;C53&amp;"  to LCU "&amp;D53</f>
        <v/>
      </c>
      <c r="C53" s="355" t="n"/>
      <c r="D53" s="355" t="n"/>
      <c r="E53" s="352">
        <f>D52</f>
        <v/>
      </c>
      <c r="F53" s="352" t="n"/>
      <c r="G53" s="128" t="n">
        <v>0.35</v>
      </c>
      <c r="H53" s="353">
        <f>IF($D$19&lt;C53,0,IF($D$19&gt;D53,F53*G53,($D$19-C53)*G53))</f>
        <v/>
      </c>
      <c r="I53" s="352" t="n"/>
      <c r="J53" s="355" t="n"/>
      <c r="K53" s="356" t="n"/>
      <c r="L53" s="354" t="n"/>
      <c r="M53" s="354" t="n"/>
      <c r="T53" s="486" t="n"/>
    </row>
    <row r="54">
      <c r="D54" s="486" t="n"/>
      <c r="E54" s="486" t="n"/>
      <c r="F54" s="486" t="n"/>
      <c r="G54" s="486" t="n"/>
      <c r="H54" s="59" t="n"/>
      <c r="I54" s="59" t="n"/>
      <c r="J54" s="486" t="n"/>
      <c r="K54" s="486" t="n"/>
      <c r="N54" s="493" t="n"/>
      <c r="R54" s="486" t="n"/>
      <c r="S54" s="486" t="n"/>
      <c r="T54" s="486" t="n"/>
    </row>
    <row r="55">
      <c r="M55" s="450" t="n"/>
    </row>
    <row r="56">
      <c r="M56" s="494" t="n"/>
      <c r="N56" s="60" t="n"/>
    </row>
    <row r="57">
      <c r="M57" s="495" t="n"/>
    </row>
    <row r="58">
      <c r="M58" s="450" t="n"/>
      <c r="N58" s="60" t="n"/>
    </row>
    <row r="59">
      <c r="M59" s="493" t="n"/>
    </row>
    <row r="60">
      <c r="M60" s="493" t="n"/>
    </row>
    <row r="61"/>
    <row r="62">
      <c r="M62" s="496" t="n"/>
    </row>
    <row r="63"/>
    <row r="64"/>
    <row r="65"/>
    <row r="66"/>
    <row r="67"/>
    <row r="68">
      <c r="M68" s="450" t="n"/>
      <c r="N68" s="495" t="n"/>
      <c r="O68" s="495" t="n"/>
    </row>
  </sheetData>
  <mergeCells count="2">
    <mergeCell ref="B8:K8"/>
    <mergeCell ref="B36:K36"/>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2:AI307"/>
  <sheetViews>
    <sheetView showGridLines="0" topLeftCell="A273" zoomScale="93" zoomScaleNormal="85" workbookViewId="0">
      <selection activeCell="D276" sqref="D276"/>
    </sheetView>
  </sheetViews>
  <sheetFormatPr baseColWidth="10" defaultColWidth="8.83203125" defaultRowHeight="15"/>
  <cols>
    <col width="8.83203125" customWidth="1" style="22" min="1" max="1"/>
    <col width="38.83203125" customWidth="1" style="22" min="2" max="2"/>
    <col width="21.83203125" customWidth="1" style="22" min="3" max="3"/>
    <col width="20.1640625" customWidth="1" style="22" min="4" max="11"/>
    <col width="15.83203125" customWidth="1" style="22" min="12" max="12"/>
    <col width="23.83203125" customWidth="1" style="22" min="13" max="18"/>
    <col width="8.83203125" customWidth="1" style="22" min="19" max="24"/>
    <col width="12.83203125" customWidth="1" style="22" min="25" max="25"/>
    <col width="8.83203125" customWidth="1" style="22" min="26" max="26"/>
    <col width="12.5" customWidth="1" style="22" min="27" max="27"/>
    <col width="12.1640625" customWidth="1" style="22" min="28" max="31"/>
    <col width="8.83203125" customWidth="1" style="22" min="32" max="16384"/>
  </cols>
  <sheetData>
    <row r="2" ht="62" customHeight="1">
      <c r="B2" s="21" t="inlineStr">
        <is>
          <t>Background calculations &amp; assumptions</t>
        </is>
      </c>
    </row>
    <row r="4">
      <c r="B4" s="23" t="inlineStr">
        <is>
          <t>Guidance</t>
        </is>
      </c>
    </row>
    <row r="5" ht="41.25" customHeight="1">
      <c r="B5" s="434" t="inlineStr">
        <is>
          <t>This tab contains all the background calculations &amp; assumptions to calculate the LI benchmark. Do not edit any of the cells in this tab</t>
        </is>
      </c>
      <c r="C5" s="22" t="n"/>
      <c r="D5" s="22" t="n"/>
      <c r="E5" s="22" t="n"/>
      <c r="F5" s="22" t="n"/>
      <c r="G5" s="22" t="n"/>
      <c r="H5" s="22" t="n"/>
      <c r="I5" s="22" t="n"/>
      <c r="J5" s="22" t="n"/>
      <c r="K5" s="22" t="n"/>
      <c r="L5" s="22" t="n"/>
      <c r="M5" s="22" t="n"/>
      <c r="N5" s="22" t="n"/>
      <c r="O5" s="22" t="n"/>
      <c r="P5" s="22" t="n"/>
      <c r="Q5" s="22" t="n"/>
      <c r="R5" s="22" t="n"/>
      <c r="S5" s="22" t="n"/>
    </row>
    <row r="7" ht="21.75" customFormat="1" customHeight="1" s="25">
      <c r="B7" s="24" t="inlineStr">
        <is>
          <t>0. MODEL SETTINGS</t>
        </is>
      </c>
    </row>
    <row r="9">
      <c r="B9" s="26" t="inlineStr">
        <is>
          <t>LIST - Referense Size</t>
        </is>
      </c>
      <c r="C9" s="22" t="inlineStr">
        <is>
          <t>Household size - Selected</t>
        </is>
      </c>
      <c r="D9" s="497">
        <f>'OUTPUT_Living wage'!E15</f>
        <v/>
      </c>
      <c r="F9" s="22" t="inlineStr">
        <is>
          <t>Household composition - selected</t>
        </is>
      </c>
      <c r="G9" s="497">
        <f>D9</f>
        <v/>
      </c>
    </row>
    <row r="10">
      <c r="B10" s="22" t="inlineStr">
        <is>
          <t>Reference Household</t>
        </is>
      </c>
      <c r="C10" s="22">
        <f>'OUTPUT_Living wage'!C18</f>
        <v/>
      </c>
      <c r="D10" s="497">
        <f>'OUTPUT_Living wage'!E18</f>
        <v/>
      </c>
      <c r="F10" s="22" t="inlineStr">
        <is>
          <t>Adults (male)</t>
        </is>
      </c>
      <c r="G10" s="497">
        <f>IF('OUTPUT_Living wage'!$E$15='Background calculations'!$B$11,'1. Setting the boundaries'!D25,1)</f>
        <v/>
      </c>
    </row>
    <row r="11">
      <c r="B11" s="22" t="inlineStr">
        <is>
          <t>Personalized</t>
        </is>
      </c>
      <c r="C11" s="22">
        <f>'OUTPUT_Living wage'!C19</f>
        <v/>
      </c>
      <c r="D11" s="497">
        <f>'OUTPUT_Living wage'!E19</f>
        <v/>
      </c>
      <c r="F11" s="22" t="inlineStr">
        <is>
          <t>Adults (female)</t>
        </is>
      </c>
      <c r="G11" s="497">
        <f>IF('OUTPUT_Living wage'!$E$15='Background calculations'!$B$11,'1. Setting the boundaries'!D26,1)</f>
        <v/>
      </c>
    </row>
    <row r="12">
      <c r="C12" s="22">
        <f>'OUTPUT_Living wage'!C20</f>
        <v/>
      </c>
      <c r="D12" s="497">
        <f>'OUTPUT_Living wage'!E20</f>
        <v/>
      </c>
      <c r="F12" s="22" t="inlineStr">
        <is>
          <t>Children</t>
        </is>
      </c>
      <c r="G12" s="497">
        <f>IF('OUTPUT_Living wage'!$E$15='Background calculations'!$B$11,'1. Setting the boundaries'!D27,D11)</f>
        <v/>
      </c>
    </row>
    <row r="16" ht="21.75" customFormat="1" customHeight="1" s="25">
      <c r="B16" s="24" t="inlineStr">
        <is>
          <t>I. HOUSEHOLD SETUP</t>
        </is>
      </c>
    </row>
    <row r="19">
      <c r="B19" s="28" t="inlineStr">
        <is>
          <t>2A) Calculate number of children</t>
        </is>
      </c>
      <c r="C19" s="28" t="n"/>
      <c r="D19" s="28" t="n"/>
      <c r="E19" s="29" t="n"/>
      <c r="F19" s="29" t="n"/>
      <c r="G19" s="29" t="n"/>
      <c r="H19" s="29" t="n"/>
      <c r="I19" s="29" t="n"/>
      <c r="J19" s="29" t="n"/>
      <c r="K19" s="29" t="n"/>
      <c r="L19" s="29" t="n"/>
      <c r="M19" s="29" t="n"/>
      <c r="N19" s="29" t="n"/>
      <c r="O19" s="29" t="n"/>
      <c r="P19" s="29" t="n"/>
      <c r="Q19" s="29" t="n"/>
      <c r="R19" s="29" t="n"/>
      <c r="S19" s="29" t="n"/>
    </row>
    <row r="21">
      <c r="B21" s="22" t="inlineStr">
        <is>
          <t>Corrected fertility rate</t>
        </is>
      </c>
      <c r="C21" s="497">
        <f>'1. Setting the boundaries'!D45*(1-('1. Setting the boundaries'!D46/1000))</f>
        <v/>
      </c>
      <c r="D21" s="497">
        <f>'1. Setting the boundaries'!E45*(1-('1. Setting the boundaries'!E46/1000))</f>
        <v/>
      </c>
      <c r="E21" s="497">
        <f>'1. Setting the boundaries'!F45*(1-('1. Setting the boundaries'!F46/1000))</f>
        <v/>
      </c>
    </row>
    <row r="23">
      <c r="B23" s="22" t="inlineStr">
        <is>
          <t>Household size (final calculation)</t>
        </is>
      </c>
      <c r="C23" s="497">
        <f>AVERAGE('1. Setting the boundaries'!D44,'1. Setting the boundaries'!F44)</f>
        <v/>
      </c>
      <c r="D23" s="497">
        <f>AVERAGE('1. Setting the boundaries'!E44,'1. Setting the boundaries'!F44)</f>
        <v/>
      </c>
      <c r="E23" s="497">
        <f>'1. Setting the boundaries'!F44</f>
        <v/>
      </c>
    </row>
    <row r="24">
      <c r="B24" s="22" t="inlineStr">
        <is>
          <t>Number of children (method 1)</t>
        </is>
      </c>
      <c r="C24" s="498">
        <f>C23-'1. Setting the boundaries'!$D$16</f>
        <v/>
      </c>
      <c r="D24" s="498">
        <f>D23-'1. Setting the boundaries'!$D$16</f>
        <v/>
      </c>
      <c r="E24" s="498">
        <f>IF(E23-'1. Setting the boundaries'!$D$16&lt;0,0,E23-'1. Setting the boundaries'!$D$16)</f>
        <v/>
      </c>
    </row>
    <row r="25">
      <c r="B25" s="22" t="inlineStr">
        <is>
          <t>Number of children (method 2)</t>
        </is>
      </c>
      <c r="C25" s="498">
        <f>C21</f>
        <v/>
      </c>
      <c r="D25" s="498">
        <f>D21</f>
        <v/>
      </c>
      <c r="E25" s="498">
        <f>E21</f>
        <v/>
      </c>
    </row>
    <row r="27">
      <c r="B27" s="28" t="inlineStr">
        <is>
          <t>2B) Calculate number of workers in the family</t>
        </is>
      </c>
      <c r="C27" s="28" t="n"/>
      <c r="D27" s="28" t="n"/>
      <c r="E27" s="29" t="n"/>
      <c r="F27" s="29" t="n"/>
      <c r="G27" s="29" t="n"/>
      <c r="H27" s="29" t="n"/>
      <c r="I27" s="29" t="n"/>
      <c r="J27" s="29" t="n"/>
      <c r="K27" s="29" t="n"/>
      <c r="L27" s="29" t="n"/>
      <c r="M27" s="29" t="n"/>
      <c r="N27" s="29" t="n"/>
      <c r="O27" s="29" t="n"/>
      <c r="P27" s="29" t="n"/>
      <c r="Q27" s="29" t="n"/>
      <c r="R27" s="29" t="n"/>
      <c r="S27" s="29" t="n"/>
    </row>
    <row r="29" ht="32" customHeight="1">
      <c r="B29" s="31" t="inlineStr">
        <is>
          <t>Probability of full time equivalent work per person</t>
        </is>
      </c>
      <c r="C29" s="499">
        <f>'1. Setting the boundaries'!D64*(100%-'1. Setting the boundaries'!D65)*(100%-('1. Setting the boundaries'!D66/2))</f>
        <v/>
      </c>
      <c r="D29" s="499">
        <f>'1. Setting the boundaries'!E64*(100%-'1. Setting the boundaries'!E65)*(100%-('1. Setting the boundaries'!E66/2))</f>
        <v/>
      </c>
      <c r="E29" s="499">
        <f>'1. Setting the boundaries'!F64*(100%-'1. Setting the boundaries'!F65)*(100%-('1. Setting the boundaries'!F66/2))</f>
        <v/>
      </c>
    </row>
    <row r="30" ht="32" customHeight="1">
      <c r="B30" s="31" t="inlineStr">
        <is>
          <t>Probability of full time equivalent work per person (number)</t>
        </is>
      </c>
      <c r="C30" s="33">
        <f>C29</f>
        <v/>
      </c>
      <c r="D30" s="33">
        <f>D29</f>
        <v/>
      </c>
      <c r="E30" s="33">
        <f>E29</f>
        <v/>
      </c>
    </row>
    <row r="33" ht="21.75" customFormat="1" customHeight="1" s="25">
      <c r="B33" s="24" t="inlineStr">
        <is>
          <t>II. HOUSING COST CALCULATIONS</t>
        </is>
      </c>
    </row>
    <row r="35" ht="20.5" customHeight="1">
      <c r="B35" s="28" t="inlineStr">
        <is>
          <t>Space per person required if minimum number of rooms is not met</t>
        </is>
      </c>
      <c r="C35" s="28" t="n"/>
      <c r="D35" s="28" t="n"/>
      <c r="E35" s="28" t="n"/>
      <c r="F35" s="28" t="n"/>
      <c r="G35" s="28" t="n"/>
      <c r="H35" s="28" t="n"/>
      <c r="I35" s="28" t="n"/>
      <c r="J35" s="28" t="n"/>
      <c r="K35" s="28" t="n"/>
      <c r="L35" s="28" t="n"/>
      <c r="M35" s="28" t="n"/>
      <c r="N35" s="28" t="n"/>
      <c r="O35" s="28" t="n"/>
      <c r="P35" s="28" t="n"/>
      <c r="Q35" s="28" t="n"/>
      <c r="R35" s="28" t="n"/>
      <c r="S35" s="28" t="n"/>
    </row>
    <row r="37">
      <c r="B37" s="34" t="inlineStr">
        <is>
          <t>Minimum space per person (sqm)</t>
        </is>
      </c>
      <c r="C37" s="35" t="n">
        <v>6</v>
      </c>
    </row>
    <row r="38">
      <c r="B38" s="34" t="n"/>
      <c r="C38" s="36" t="n"/>
    </row>
    <row r="39" ht="20.5" customHeight="1">
      <c r="B39" s="28" t="inlineStr">
        <is>
          <t>Decent Housing Standard Analysis</t>
        </is>
      </c>
      <c r="C39" s="28" t="n"/>
      <c r="D39" s="28" t="n"/>
      <c r="E39" s="28" t="n"/>
      <c r="F39" s="28" t="n"/>
      <c r="G39" s="28" t="n"/>
      <c r="H39" s="28" t="n"/>
      <c r="I39" s="28" t="n"/>
      <c r="J39" s="28" t="n"/>
      <c r="K39" s="28" t="n"/>
      <c r="L39" s="28" t="n"/>
      <c r="M39" s="28" t="n"/>
      <c r="N39" s="28" t="n"/>
      <c r="O39" s="28" t="n"/>
      <c r="P39" s="28" t="n"/>
      <c r="Q39" s="28" t="n"/>
      <c r="R39" s="28" t="n"/>
      <c r="S39" s="28" t="n"/>
    </row>
    <row r="41">
      <c r="I41" s="500" t="inlineStr">
        <is>
          <t>MANDATORY CRITERIA</t>
        </is>
      </c>
      <c r="J41" s="458" t="n"/>
      <c r="K41" s="458" t="n"/>
      <c r="L41" s="457" t="n"/>
      <c r="N41" s="500" t="inlineStr">
        <is>
          <t>ADDITIONAL CRITERIA</t>
        </is>
      </c>
      <c r="O41" s="458" t="n"/>
      <c r="P41" s="458" t="n"/>
      <c r="Q41" s="457" t="n"/>
    </row>
    <row r="42" ht="32" customHeight="1">
      <c r="B42" s="37" t="inlineStr">
        <is>
          <t>Participant</t>
        </is>
      </c>
      <c r="C42" s="38" t="inlineStr">
        <is>
          <t>Decent Housing Standard</t>
        </is>
      </c>
      <c r="D42" s="39" t="inlineStr">
        <is>
          <t>Household size</t>
        </is>
      </c>
      <c r="E42" s="39" t="inlineStr">
        <is>
          <t>FTE</t>
        </is>
      </c>
      <c r="F42" s="39" t="inlineStr">
        <is>
          <t>Total Rooms</t>
        </is>
      </c>
      <c r="G42" s="39" t="inlineStr">
        <is>
          <t>Persons per room</t>
        </is>
      </c>
      <c r="H42" s="39" t="inlineStr">
        <is>
          <t>living space (sq mt)</t>
        </is>
      </c>
      <c r="I42" s="39" t="inlineStr">
        <is>
          <t>Living space per person</t>
        </is>
      </c>
      <c r="J42" s="39" t="inlineStr">
        <is>
          <t>Floor</t>
        </is>
      </c>
      <c r="K42" s="39" t="inlineStr">
        <is>
          <t>Roof</t>
        </is>
      </c>
      <c r="L42" s="39" t="inlineStr">
        <is>
          <t>Walls</t>
        </is>
      </c>
      <c r="M42" s="38" t="inlineStr">
        <is>
          <t>Mandatory criteria met?</t>
        </is>
      </c>
      <c r="N42" s="39" t="inlineStr">
        <is>
          <t>Safe Toilet</t>
        </is>
      </c>
      <c r="O42" s="39" t="inlineStr">
        <is>
          <t>Access to water</t>
        </is>
      </c>
      <c r="P42" s="39" t="inlineStr">
        <is>
          <t>Adequate ventilation when cooking inside</t>
        </is>
      </c>
      <c r="Q42" s="39" t="inlineStr">
        <is>
          <t>Availability of electricity</t>
        </is>
      </c>
      <c r="R42" s="38" t="inlineStr">
        <is>
          <t>Additional criteria met? (3 out of 4)</t>
        </is>
      </c>
      <c r="S42" s="31" t="inlineStr">
        <is>
          <t>Include in study</t>
        </is>
      </c>
    </row>
    <row r="43">
      <c r="B43" s="22" t="inlineStr">
        <is>
          <t>Survey #1</t>
        </is>
      </c>
      <c r="C43" s="22">
        <f>AND('Background calculations'!M43,'Background calculations'!R43,S43="Yes")</f>
        <v/>
      </c>
      <c r="D43" s="40">
        <f t="array" ref="D43:D57">TRANSPOSE('CLS - Input data'!D18:R18)</f>
        <v/>
      </c>
      <c r="E43" s="41">
        <f t="array" ref="E43:E57">TRANSPOSE('CLS - Input data'!D20:R20)+TRANSPOSE('CLS - Input data'!D21:R21)</f>
        <v/>
      </c>
      <c r="F43" s="40">
        <f t="array" ref="F43:F57">TRANSPOSE('CLS - Input data'!D23:R23)</f>
        <v/>
      </c>
      <c r="G43" s="501">
        <f t="array" ref="G43:G57">TRANSPOSE('Background calculations'!C65:Q65)</f>
        <v/>
      </c>
      <c r="H43" s="40">
        <f t="array" ref="H43:H57">TRANSPOSE('CLS - Input data'!D24:R24)</f>
        <v/>
      </c>
      <c r="I43" s="43">
        <f>H43/D43</f>
        <v/>
      </c>
      <c r="J43" s="44">
        <f t="array" ref="J43:J57">TRANSPOSE('Decent housing'!E30:S30)</f>
        <v/>
      </c>
      <c r="K43" s="44">
        <f t="array" ref="K43:K57">TRANSPOSE('Decent housing'!E29:S29)</f>
        <v/>
      </c>
      <c r="L43" s="44">
        <f t="array" ref="L43:L57">TRANSPOSE('Decent housing'!E28:S28)</f>
        <v/>
      </c>
      <c r="M43" s="45">
        <f>AND(IF(G43&lt;='2. Housing costs'!$D$28,TRUE,H43/D43 &gt;='Background calculations'!$C$37),J43="Yes",K43="Yes",L43="Yes")</f>
        <v/>
      </c>
      <c r="N43" s="46">
        <f t="array" ref="N43:N57">TRANSPOSE('Decent housing'!E31:S31)</f>
        <v/>
      </c>
      <c r="O43" s="46">
        <f t="array" ref="O43:O57">TRANSPOSE('Decent housing'!E32:S32)</f>
        <v/>
      </c>
      <c r="P43" s="46">
        <f t="array" ref="P43:P57">TRANSPOSE('Decent housing'!E33:S33)</f>
        <v/>
      </c>
      <c r="Q43" s="46">
        <f t="array" ref="Q43:Q57">TRANSPOSE('Decent housing'!E34:S34)</f>
        <v/>
      </c>
      <c r="R43" s="45">
        <f>COUNTIF(N43:Q43,"Yes")&gt;=3</f>
        <v/>
      </c>
      <c r="S43" s="22">
        <f t="array" ref="S43:S57">TRANSPOSE('Decent housing'!E27:S27)</f>
        <v/>
      </c>
    </row>
    <row r="44">
      <c r="B44" s="22" t="inlineStr">
        <is>
          <t>Survey #2</t>
        </is>
      </c>
      <c r="C44" s="22">
        <f>AND('Background calculations'!M44,'Background calculations'!R44,S44="Yes")</f>
        <v/>
      </c>
      <c r="D44" s="40" t="n">
        <v>4</v>
      </c>
      <c r="E44" s="41" t="n">
        <v>2</v>
      </c>
      <c r="F44" s="40" t="n">
        <v>2</v>
      </c>
      <c r="G44" s="501" t="n">
        <v>2</v>
      </c>
      <c r="H44" s="40" t="n">
        <v>40.25</v>
      </c>
      <c r="I44" s="43">
        <f>H44/D44</f>
        <v/>
      </c>
      <c r="J44" s="44" t="inlineStr">
        <is>
          <t>Yes</t>
        </is>
      </c>
      <c r="K44" s="44" t="inlineStr">
        <is>
          <t>Yes</t>
        </is>
      </c>
      <c r="L44" s="44" t="inlineStr">
        <is>
          <t>Yes</t>
        </is>
      </c>
      <c r="M44" s="45">
        <f>AND(IF(G44&lt;='2. Housing costs'!$D$28,TRUE,H44/D44 &gt;='Background calculations'!$C$37),J44="Yes",K44="Yes",L44="Yes")</f>
        <v/>
      </c>
      <c r="N44" s="46" t="inlineStr">
        <is>
          <t>Yes</t>
        </is>
      </c>
      <c r="O44" s="46" t="inlineStr">
        <is>
          <t>Yes</t>
        </is>
      </c>
      <c r="P44" s="46" t="inlineStr">
        <is>
          <t>Yes</t>
        </is>
      </c>
      <c r="Q44" s="46" t="inlineStr">
        <is>
          <t>Yes</t>
        </is>
      </c>
      <c r="R44" s="45">
        <f>COUNTIF(N44:Q44,"Yes")&gt;=3</f>
        <v/>
      </c>
      <c r="S44" s="22" t="inlineStr">
        <is>
          <t>Yes</t>
        </is>
      </c>
    </row>
    <row r="45">
      <c r="B45" s="22" t="inlineStr">
        <is>
          <t>Survey #3</t>
        </is>
      </c>
      <c r="C45" s="22">
        <f>AND('Background calculations'!M45,'Background calculations'!R45,S45="Yes")</f>
        <v/>
      </c>
      <c r="D45" s="40" t="n">
        <v>4</v>
      </c>
      <c r="E45" s="41" t="n">
        <v>2</v>
      </c>
      <c r="F45" s="40" t="n">
        <v>3</v>
      </c>
      <c r="G45" s="501" t="n">
        <v>1.333333333333333</v>
      </c>
      <c r="H45" s="40" t="n">
        <v>44.59</v>
      </c>
      <c r="I45" s="43">
        <f>H45/D45</f>
        <v/>
      </c>
      <c r="J45" s="44" t="inlineStr">
        <is>
          <t>Yes</t>
        </is>
      </c>
      <c r="K45" s="44" t="inlineStr">
        <is>
          <t>Yes</t>
        </is>
      </c>
      <c r="L45" s="44" t="inlineStr">
        <is>
          <t>Yes</t>
        </is>
      </c>
      <c r="M45" s="45">
        <f>AND(IF(G45&lt;='2. Housing costs'!$D$28,TRUE,H45/D45 &gt;='Background calculations'!$C$37),J45="Yes",K45="Yes",L45="Yes")</f>
        <v/>
      </c>
      <c r="N45" s="46" t="inlineStr">
        <is>
          <t>Yes</t>
        </is>
      </c>
      <c r="O45" s="46" t="inlineStr">
        <is>
          <t>Yes</t>
        </is>
      </c>
      <c r="P45" s="46" t="inlineStr">
        <is>
          <t>Yes</t>
        </is>
      </c>
      <c r="Q45" s="46" t="inlineStr">
        <is>
          <t>Yes</t>
        </is>
      </c>
      <c r="R45" s="45">
        <f>COUNTIF(N45:Q45,"Yes")&gt;=3</f>
        <v/>
      </c>
      <c r="S45" s="22" t="inlineStr">
        <is>
          <t>Yes</t>
        </is>
      </c>
    </row>
    <row r="46">
      <c r="B46" s="22" t="inlineStr">
        <is>
          <t>Survey #4</t>
        </is>
      </c>
      <c r="C46" s="22">
        <f>AND('Background calculations'!M46,'Background calculations'!R46,S46="Yes")</f>
        <v/>
      </c>
      <c r="D46" s="40" t="n">
        <v>4</v>
      </c>
      <c r="E46" s="41" t="n">
        <v>2</v>
      </c>
      <c r="F46" s="40" t="n">
        <v>3</v>
      </c>
      <c r="G46" s="501" t="n">
        <v>1.333333333333333</v>
      </c>
      <c r="H46" s="40" t="n">
        <v>66.89</v>
      </c>
      <c r="I46" s="43">
        <f>H46/D46</f>
        <v/>
      </c>
      <c r="J46" s="44" t="inlineStr">
        <is>
          <t>Yes</t>
        </is>
      </c>
      <c r="K46" s="44" t="inlineStr">
        <is>
          <t>Yes</t>
        </is>
      </c>
      <c r="L46" s="44" t="inlineStr">
        <is>
          <t>Yes</t>
        </is>
      </c>
      <c r="M46" s="45">
        <f>AND(IF(G46&lt;='2. Housing costs'!$D$28,TRUE,H46/D46 &gt;='Background calculations'!$C$37),J46="Yes",K46="Yes",L46="Yes")</f>
        <v/>
      </c>
      <c r="N46" s="46" t="inlineStr">
        <is>
          <t>Yes</t>
        </is>
      </c>
      <c r="O46" s="46" t="inlineStr">
        <is>
          <t>Yes</t>
        </is>
      </c>
      <c r="P46" s="46" t="inlineStr">
        <is>
          <t>Yes</t>
        </is>
      </c>
      <c r="Q46" s="46" t="inlineStr">
        <is>
          <t>Yes</t>
        </is>
      </c>
      <c r="R46" s="45">
        <f>COUNTIF(N46:Q46,"Yes")&gt;=3</f>
        <v/>
      </c>
      <c r="S46" s="22" t="inlineStr">
        <is>
          <t>Yes</t>
        </is>
      </c>
    </row>
    <row r="47">
      <c r="B47" s="22" t="inlineStr">
        <is>
          <t>Survey #5</t>
        </is>
      </c>
      <c r="C47" s="22">
        <f>AND('Background calculations'!M47,'Background calculations'!R47,S47="Yes")</f>
        <v/>
      </c>
      <c r="D47" s="40" t="n">
        <v>4</v>
      </c>
      <c r="E47" s="41" t="n">
        <v>2</v>
      </c>
      <c r="F47" s="40" t="n">
        <v>2</v>
      </c>
      <c r="G47" s="501" t="n">
        <v>2</v>
      </c>
      <c r="H47" s="40" t="n">
        <v>80.3</v>
      </c>
      <c r="I47" s="43">
        <f>H47/D47</f>
        <v/>
      </c>
      <c r="J47" s="44" t="inlineStr">
        <is>
          <t>Yes</t>
        </is>
      </c>
      <c r="K47" s="44" t="inlineStr">
        <is>
          <t>Yes</t>
        </is>
      </c>
      <c r="L47" s="44" t="inlineStr">
        <is>
          <t>Yes</t>
        </is>
      </c>
      <c r="M47" s="45">
        <f>AND(IF(G47&lt;='2. Housing costs'!$D$28,TRUE,H47/D47 &gt;='Background calculations'!$C$37),J47="Yes",K47="Yes",L47="Yes")</f>
        <v/>
      </c>
      <c r="N47" s="46" t="inlineStr">
        <is>
          <t>Yes</t>
        </is>
      </c>
      <c r="O47" s="46" t="inlineStr">
        <is>
          <t>Yes</t>
        </is>
      </c>
      <c r="P47" s="46" t="inlineStr">
        <is>
          <t>Yes</t>
        </is>
      </c>
      <c r="Q47" s="46" t="inlineStr">
        <is>
          <t>Yes</t>
        </is>
      </c>
      <c r="R47" s="45">
        <f>COUNTIF(N47:Q47,"Yes")&gt;=3</f>
        <v/>
      </c>
      <c r="S47" s="22" t="inlineStr">
        <is>
          <t>Yes</t>
        </is>
      </c>
    </row>
    <row r="48">
      <c r="B48" s="22" t="inlineStr">
        <is>
          <t>Survey #6</t>
        </is>
      </c>
      <c r="C48" s="22">
        <f>AND('Background calculations'!M48,'Background calculations'!R48,S48="Yes")</f>
        <v/>
      </c>
      <c r="D48" s="40" t="n">
        <v>4</v>
      </c>
      <c r="E48" s="41" t="n">
        <v>2</v>
      </c>
      <c r="F48" s="40" t="n">
        <v>3</v>
      </c>
      <c r="G48" s="501" t="n">
        <v>1.333333333333333</v>
      </c>
      <c r="H48" s="40" t="n">
        <v>66.89</v>
      </c>
      <c r="I48" s="43">
        <f>H48/D48</f>
        <v/>
      </c>
      <c r="J48" s="44" t="inlineStr">
        <is>
          <t>Yes</t>
        </is>
      </c>
      <c r="K48" s="44" t="inlineStr">
        <is>
          <t>Yes</t>
        </is>
      </c>
      <c r="L48" s="44" t="inlineStr">
        <is>
          <t>Yes</t>
        </is>
      </c>
      <c r="M48" s="45">
        <f>AND(IF(G48&lt;='2. Housing costs'!$D$28,TRUE,H48/D48 &gt;='Background calculations'!$C$37),J48="Yes",K48="Yes",L48="Yes")</f>
        <v/>
      </c>
      <c r="N48" s="46" t="inlineStr">
        <is>
          <t>Yes</t>
        </is>
      </c>
      <c r="O48" s="46" t="inlineStr">
        <is>
          <t>Yes</t>
        </is>
      </c>
      <c r="P48" s="46" t="inlineStr">
        <is>
          <t>Yes</t>
        </is>
      </c>
      <c r="Q48" s="46" t="inlineStr">
        <is>
          <t>Yes</t>
        </is>
      </c>
      <c r="R48" s="45">
        <f>COUNTIF(N48:Q48,"Yes")&gt;=3</f>
        <v/>
      </c>
      <c r="S48" s="22" t="inlineStr">
        <is>
          <t>Yes</t>
        </is>
      </c>
    </row>
    <row r="49">
      <c r="B49" s="22" t="inlineStr">
        <is>
          <t>Survey #7</t>
        </is>
      </c>
      <c r="C49" s="22">
        <f>AND('Background calculations'!M49,'Background calculations'!R49,S49="Yes")</f>
        <v/>
      </c>
      <c r="D49" s="40" t="n">
        <v>4</v>
      </c>
      <c r="E49" s="41" t="n">
        <v>2</v>
      </c>
      <c r="F49" s="40" t="n">
        <v>3</v>
      </c>
      <c r="G49" s="501" t="n">
        <v>1.333333333333333</v>
      </c>
      <c r="H49" s="40" t="n">
        <v>50.15</v>
      </c>
      <c r="I49" s="43">
        <f>H49/D49</f>
        <v/>
      </c>
      <c r="J49" s="44" t="inlineStr">
        <is>
          <t>Yes</t>
        </is>
      </c>
      <c r="K49" s="44" t="inlineStr">
        <is>
          <t>Yes</t>
        </is>
      </c>
      <c r="L49" s="44" t="inlineStr">
        <is>
          <t>Yes</t>
        </is>
      </c>
      <c r="M49" s="45">
        <f>AND(IF(G49&lt;='2. Housing costs'!$D$28,TRUE,H49/D49 &gt;='Background calculations'!$C$37),J49="Yes",K49="Yes",L49="Yes")</f>
        <v/>
      </c>
      <c r="N49" s="46" t="inlineStr">
        <is>
          <t>Yes</t>
        </is>
      </c>
      <c r="O49" s="46" t="inlineStr">
        <is>
          <t>Yes</t>
        </is>
      </c>
      <c r="P49" s="46" t="inlineStr">
        <is>
          <t>Yes</t>
        </is>
      </c>
      <c r="Q49" s="46" t="inlineStr">
        <is>
          <t>Yes</t>
        </is>
      </c>
      <c r="R49" s="45">
        <f>COUNTIF(N49:Q49,"Yes")&gt;=3</f>
        <v/>
      </c>
      <c r="S49" s="22" t="inlineStr">
        <is>
          <t>Yes</t>
        </is>
      </c>
    </row>
    <row r="50">
      <c r="B50" s="22" t="inlineStr">
        <is>
          <t>Survey #8</t>
        </is>
      </c>
      <c r="C50" s="22">
        <f>AND('Background calculations'!M50,'Background calculations'!R50,S50="Yes")</f>
        <v/>
      </c>
      <c r="D50" s="40" t="n">
        <v>4</v>
      </c>
      <c r="E50" s="41" t="n">
        <v>2</v>
      </c>
      <c r="F50" s="40" t="n">
        <v>2</v>
      </c>
      <c r="G50" s="501" t="n">
        <v>2</v>
      </c>
      <c r="H50" s="40" t="n">
        <v>29.73</v>
      </c>
      <c r="I50" s="43">
        <f>H50/D50</f>
        <v/>
      </c>
      <c r="J50" s="44" t="inlineStr">
        <is>
          <t>Yes</t>
        </is>
      </c>
      <c r="K50" s="44" t="inlineStr">
        <is>
          <t>Yes</t>
        </is>
      </c>
      <c r="L50" s="44" t="inlineStr">
        <is>
          <t>Yes</t>
        </is>
      </c>
      <c r="M50" s="45">
        <f>AND(IF(G50&lt;='2. Housing costs'!$D$28,TRUE,H50/D50 &gt;='Background calculations'!$C$37),J50="Yes",K50="Yes",L50="Yes")</f>
        <v/>
      </c>
      <c r="N50" s="46" t="inlineStr">
        <is>
          <t>Yes</t>
        </is>
      </c>
      <c r="O50" s="46" t="inlineStr">
        <is>
          <t>Yes</t>
        </is>
      </c>
      <c r="P50" s="46" t="inlineStr">
        <is>
          <t>Yes</t>
        </is>
      </c>
      <c r="Q50" s="46" t="inlineStr">
        <is>
          <t>Yes</t>
        </is>
      </c>
      <c r="R50" s="45">
        <f>COUNTIF(N50:Q50,"Yes")&gt;=3</f>
        <v/>
      </c>
      <c r="S50" s="22" t="inlineStr">
        <is>
          <t>Yes</t>
        </is>
      </c>
    </row>
    <row r="51">
      <c r="B51" s="22" t="inlineStr">
        <is>
          <t>Survey #9</t>
        </is>
      </c>
      <c r="C51" s="22">
        <f>AND('Background calculations'!M51,'Background calculations'!R51,S51="Yes")</f>
        <v/>
      </c>
      <c r="D51" s="40" t="n">
        <v>4</v>
      </c>
      <c r="E51" s="41" t="n">
        <v>2</v>
      </c>
      <c r="F51" s="40" t="n">
        <v>2</v>
      </c>
      <c r="G51" s="501" t="n">
        <v>2</v>
      </c>
      <c r="H51" s="40" t="n">
        <v>45.52</v>
      </c>
      <c r="I51" s="43">
        <f>H51/D51</f>
        <v/>
      </c>
      <c r="J51" s="44" t="inlineStr">
        <is>
          <t>Yes</t>
        </is>
      </c>
      <c r="K51" s="44" t="inlineStr">
        <is>
          <t>Yes</t>
        </is>
      </c>
      <c r="L51" s="44" t="inlineStr">
        <is>
          <t>Yes</t>
        </is>
      </c>
      <c r="M51" s="45">
        <f>AND(IF(G51&lt;='2. Housing costs'!$D$28,TRUE,H51/D51 &gt;='Background calculations'!$C$37),J51="Yes",K51="Yes",L51="Yes")</f>
        <v/>
      </c>
      <c r="N51" s="46" t="inlineStr">
        <is>
          <t>Yes</t>
        </is>
      </c>
      <c r="O51" s="46" t="inlineStr">
        <is>
          <t>Yes</t>
        </is>
      </c>
      <c r="P51" s="46" t="inlineStr">
        <is>
          <t>Yes</t>
        </is>
      </c>
      <c r="Q51" s="46" t="inlineStr">
        <is>
          <t>Yes</t>
        </is>
      </c>
      <c r="R51" s="45">
        <f>COUNTIF(N51:Q51,"Yes")&gt;=3</f>
        <v/>
      </c>
      <c r="S51" s="22" t="inlineStr">
        <is>
          <t>Yes</t>
        </is>
      </c>
    </row>
    <row r="52">
      <c r="B52" s="22" t="inlineStr">
        <is>
          <t>Survey #10</t>
        </is>
      </c>
      <c r="C52" s="22">
        <f>AND('Background calculations'!M52,'Background calculations'!R52,S52="Yes")</f>
        <v/>
      </c>
      <c r="D52" s="40" t="n">
        <v>4</v>
      </c>
      <c r="E52" s="41" t="n">
        <v>2</v>
      </c>
      <c r="F52" s="40" t="n">
        <v>3</v>
      </c>
      <c r="G52" s="501" t="n">
        <v>1.333333333333333</v>
      </c>
      <c r="H52" s="40" t="n">
        <v>91.97</v>
      </c>
      <c r="I52" s="43">
        <f>H52/D52</f>
        <v/>
      </c>
      <c r="J52" s="44" t="inlineStr">
        <is>
          <t>Yes</t>
        </is>
      </c>
      <c r="K52" s="44" t="inlineStr">
        <is>
          <t>Yes</t>
        </is>
      </c>
      <c r="L52" s="44" t="inlineStr">
        <is>
          <t>Yes</t>
        </is>
      </c>
      <c r="M52" s="45">
        <f>AND(IF(G52&lt;='2. Housing costs'!$D$28,TRUE,H52/D52 &gt;='Background calculations'!$C$37),J52="Yes",K52="Yes",L52="Yes")</f>
        <v/>
      </c>
      <c r="N52" s="46" t="inlineStr">
        <is>
          <t>Yes</t>
        </is>
      </c>
      <c r="O52" s="46" t="inlineStr">
        <is>
          <t>Yes</t>
        </is>
      </c>
      <c r="P52" s="46" t="inlineStr">
        <is>
          <t>Yes</t>
        </is>
      </c>
      <c r="Q52" s="46" t="inlineStr">
        <is>
          <t>Yes</t>
        </is>
      </c>
      <c r="R52" s="45">
        <f>COUNTIF(N52:Q52,"Yes")&gt;=3</f>
        <v/>
      </c>
      <c r="S52" s="22" t="inlineStr">
        <is>
          <t>Yes</t>
        </is>
      </c>
    </row>
    <row r="53">
      <c r="B53" s="22" t="inlineStr">
        <is>
          <t>Survey #11</t>
        </is>
      </c>
      <c r="C53" s="22">
        <f>AND('Background calculations'!M53,'Background calculations'!R53,S53="Yes")</f>
        <v/>
      </c>
      <c r="D53" s="40" t="n">
        <v>4</v>
      </c>
      <c r="E53" s="41" t="n">
        <v>2</v>
      </c>
      <c r="F53" s="40" t="n">
        <v>2</v>
      </c>
      <c r="G53" s="501" t="n">
        <v>2</v>
      </c>
      <c r="H53" s="40" t="n">
        <v>88.26000000000001</v>
      </c>
      <c r="I53" s="43">
        <f>H53/D53</f>
        <v/>
      </c>
      <c r="J53" s="44" t="inlineStr">
        <is>
          <t>Yes</t>
        </is>
      </c>
      <c r="K53" s="44" t="inlineStr">
        <is>
          <t>Yes</t>
        </is>
      </c>
      <c r="L53" s="44" t="inlineStr">
        <is>
          <t>Yes</t>
        </is>
      </c>
      <c r="M53" s="45">
        <f>AND(IF(G53&lt;='2. Housing costs'!$D$28,TRUE,H53/D53 &gt;='Background calculations'!$C$37),J53="Yes",K53="Yes",L53="Yes")</f>
        <v/>
      </c>
      <c r="N53" s="46" t="inlineStr">
        <is>
          <t>Yes</t>
        </is>
      </c>
      <c r="O53" s="46" t="inlineStr">
        <is>
          <t>Yes</t>
        </is>
      </c>
      <c r="P53" s="46" t="inlineStr">
        <is>
          <t>Yes</t>
        </is>
      </c>
      <c r="Q53" s="46" t="inlineStr">
        <is>
          <t>Yes</t>
        </is>
      </c>
      <c r="R53" s="45">
        <f>COUNTIF(N53:Q53,"Yes")&gt;=3</f>
        <v/>
      </c>
      <c r="S53" s="22" t="inlineStr">
        <is>
          <t>Yes</t>
        </is>
      </c>
    </row>
    <row r="54">
      <c r="B54" s="22" t="inlineStr">
        <is>
          <t>Survey #12</t>
        </is>
      </c>
      <c r="C54" s="22">
        <f>AND('Background calculations'!M54,'Background calculations'!R54,S54="Yes")</f>
        <v/>
      </c>
      <c r="D54" s="40" t="n">
        <v>4</v>
      </c>
      <c r="E54" s="41" t="n">
        <v>2</v>
      </c>
      <c r="F54" s="40" t="n">
        <v>3</v>
      </c>
      <c r="G54" s="501" t="n">
        <v>1.333333333333333</v>
      </c>
      <c r="H54" s="40" t="n">
        <v>55.74</v>
      </c>
      <c r="I54" s="43">
        <f>H54/D54</f>
        <v/>
      </c>
      <c r="J54" s="44" t="inlineStr">
        <is>
          <t>Yes</t>
        </is>
      </c>
      <c r="K54" s="44" t="inlineStr">
        <is>
          <t>Yes</t>
        </is>
      </c>
      <c r="L54" s="44" t="inlineStr">
        <is>
          <t>Yes</t>
        </is>
      </c>
      <c r="M54" s="45">
        <f>AND(IF(G54&lt;='2. Housing costs'!$D$28,TRUE,H54/D54 &gt;='Background calculations'!$C$37),J54="Yes",K54="Yes",L54="Yes")</f>
        <v/>
      </c>
      <c r="N54" s="46" t="inlineStr">
        <is>
          <t>Yes</t>
        </is>
      </c>
      <c r="O54" s="46" t="inlineStr">
        <is>
          <t>Yes</t>
        </is>
      </c>
      <c r="P54" s="46" t="inlineStr">
        <is>
          <t>Yes</t>
        </is>
      </c>
      <c r="Q54" s="46" t="inlineStr">
        <is>
          <t>Yes</t>
        </is>
      </c>
      <c r="R54" s="45">
        <f>COUNTIF(N54:Q54,"Yes")&gt;=3</f>
        <v/>
      </c>
      <c r="S54" s="22" t="inlineStr">
        <is>
          <t>Yes</t>
        </is>
      </c>
    </row>
    <row r="55">
      <c r="B55" s="22" t="inlineStr">
        <is>
          <t>Survey #13</t>
        </is>
      </c>
      <c r="C55" s="22">
        <f>AND('Background calculations'!M55,'Background calculations'!R55,S55="Yes")</f>
        <v/>
      </c>
      <c r="D55" s="40" t="n">
        <v>4</v>
      </c>
      <c r="E55" s="41" t="n">
        <v>2</v>
      </c>
      <c r="F55" s="40" t="n">
        <v>3</v>
      </c>
      <c r="G55" s="501" t="n">
        <v>1.333333333333333</v>
      </c>
      <c r="H55" s="40" t="n">
        <v>74.31999999999999</v>
      </c>
      <c r="I55" s="43">
        <f>H55/D55</f>
        <v/>
      </c>
      <c r="J55" s="44" t="inlineStr">
        <is>
          <t>Yes</t>
        </is>
      </c>
      <c r="K55" s="44" t="inlineStr">
        <is>
          <t>Yes</t>
        </is>
      </c>
      <c r="L55" s="44" t="inlineStr">
        <is>
          <t>Yes</t>
        </is>
      </c>
      <c r="M55" s="45">
        <f>AND(IF(G55&lt;='2. Housing costs'!$D$28,TRUE,H55/D55 &gt;='Background calculations'!$C$37),J55="Yes",K55="Yes",L55="Yes")</f>
        <v/>
      </c>
      <c r="N55" s="46" t="inlineStr">
        <is>
          <t>Yes</t>
        </is>
      </c>
      <c r="O55" s="46" t="inlineStr">
        <is>
          <t>Yes</t>
        </is>
      </c>
      <c r="P55" s="46" t="inlineStr">
        <is>
          <t>Yes</t>
        </is>
      </c>
      <c r="Q55" s="46" t="inlineStr">
        <is>
          <t>Yes</t>
        </is>
      </c>
      <c r="R55" s="45">
        <f>COUNTIF(N55:Q55,"Yes")&gt;=3</f>
        <v/>
      </c>
      <c r="S55" s="22" t="inlineStr">
        <is>
          <t>Yes</t>
        </is>
      </c>
    </row>
    <row r="56">
      <c r="B56" s="22" t="inlineStr">
        <is>
          <t>Survey #14</t>
        </is>
      </c>
      <c r="C56" s="22">
        <f>AND('Background calculations'!M56,'Background calculations'!R56,S56="Yes")</f>
        <v/>
      </c>
      <c r="D56" s="40" t="n">
        <v>4</v>
      </c>
      <c r="E56" s="41" t="n">
        <v>2</v>
      </c>
      <c r="F56" s="40" t="n">
        <v>3</v>
      </c>
      <c r="G56" s="501" t="n">
        <v>1.333333333333333</v>
      </c>
      <c r="H56" s="40" t="n">
        <v>27.87</v>
      </c>
      <c r="I56" s="43">
        <f>H56/D56</f>
        <v/>
      </c>
      <c r="J56" s="44" t="inlineStr">
        <is>
          <t>Yes</t>
        </is>
      </c>
      <c r="K56" s="44" t="inlineStr">
        <is>
          <t>Yes</t>
        </is>
      </c>
      <c r="L56" s="44" t="inlineStr">
        <is>
          <t>Yes</t>
        </is>
      </c>
      <c r="M56" s="45">
        <f>AND(IF(G56&lt;='2. Housing costs'!$D$28,TRUE,H56/D56 &gt;='Background calculations'!$C$37),J56="Yes",K56="Yes",L56="Yes")</f>
        <v/>
      </c>
      <c r="N56" s="46" t="inlineStr">
        <is>
          <t>Yes</t>
        </is>
      </c>
      <c r="O56" s="46" t="inlineStr">
        <is>
          <t>Yes</t>
        </is>
      </c>
      <c r="P56" s="46" t="inlineStr">
        <is>
          <t>Yes</t>
        </is>
      </c>
      <c r="Q56" s="46" t="inlineStr">
        <is>
          <t>Yes</t>
        </is>
      </c>
      <c r="R56" s="45">
        <f>COUNTIF(N56:Q56,"Yes")&gt;=3</f>
        <v/>
      </c>
      <c r="S56" s="22" t="inlineStr">
        <is>
          <t>Yes</t>
        </is>
      </c>
    </row>
    <row r="57">
      <c r="B57" s="22" t="inlineStr">
        <is>
          <t>Survey #15</t>
        </is>
      </c>
      <c r="C57" s="22">
        <f>AND('Background calculations'!M57,'Background calculations'!R57,S57="Yes")</f>
        <v/>
      </c>
      <c r="D57" s="40" t="n">
        <v>4</v>
      </c>
      <c r="E57" s="41" t="n">
        <v>2</v>
      </c>
      <c r="F57" s="40" t="n">
        <v>2</v>
      </c>
      <c r="G57" s="501" t="n">
        <v>2</v>
      </c>
      <c r="H57" s="40" t="n">
        <v>67.16</v>
      </c>
      <c r="I57" s="43">
        <f>H57/D57</f>
        <v/>
      </c>
      <c r="J57" s="44" t="inlineStr">
        <is>
          <t>Yes</t>
        </is>
      </c>
      <c r="K57" s="44" t="inlineStr">
        <is>
          <t>Yes</t>
        </is>
      </c>
      <c r="L57" s="44" t="inlineStr">
        <is>
          <t>Yes</t>
        </is>
      </c>
      <c r="M57" s="45">
        <f>AND(IF(G57&lt;='2. Housing costs'!$D$28,TRUE,H57/D57 &gt;='Background calculations'!$C$37),J57="Yes",K57="Yes",L57="Yes")</f>
        <v/>
      </c>
      <c r="N57" s="46" t="inlineStr">
        <is>
          <t>Yes</t>
        </is>
      </c>
      <c r="O57" s="46" t="inlineStr">
        <is>
          <t>Yes</t>
        </is>
      </c>
      <c r="P57" s="46" t="inlineStr">
        <is>
          <t>Yes</t>
        </is>
      </c>
      <c r="Q57" s="46" t="inlineStr">
        <is>
          <t>Yes</t>
        </is>
      </c>
      <c r="R57" s="45">
        <f>COUNTIF(N57:Q57,"Yes")&gt;=3</f>
        <v/>
      </c>
      <c r="S57" s="22" t="inlineStr">
        <is>
          <t>Yes</t>
        </is>
      </c>
    </row>
    <row r="60" ht="20.5" customHeight="1">
      <c r="B60" s="28" t="inlineStr">
        <is>
          <t>Housing Cost Analysis</t>
        </is>
      </c>
      <c r="C60" s="28" t="n"/>
      <c r="D60" s="28" t="n"/>
      <c r="E60" s="28" t="n"/>
      <c r="F60" s="28" t="n"/>
      <c r="G60" s="28" t="n"/>
      <c r="H60" s="28" t="n"/>
      <c r="I60" s="28" t="n"/>
      <c r="J60" s="28" t="n"/>
      <c r="K60" s="28" t="n"/>
      <c r="L60" s="28" t="n"/>
      <c r="M60" s="28" t="n"/>
      <c r="N60" s="28" t="n"/>
      <c r="O60" s="28" t="n"/>
      <c r="P60" s="28" t="n"/>
      <c r="Q60" s="28" t="n"/>
      <c r="R60" s="28" t="n"/>
      <c r="S60" s="28" t="n"/>
    </row>
    <row r="61" ht="16" customHeight="1" thickBot="1"/>
    <row r="62" ht="33.75" customHeight="1" thickBot="1">
      <c r="B62" s="47" t="inlineStr">
        <is>
          <t>Total Housing costs (incl. utilities) (LCU/month)</t>
        </is>
      </c>
      <c r="C62" s="502">
        <f>SUM('CLS - Input data'!D26:D29)</f>
        <v/>
      </c>
      <c r="D62" s="502">
        <f>SUM('CLS - Input data'!E26:E29)</f>
        <v/>
      </c>
      <c r="E62" s="502">
        <f>SUM('CLS - Input data'!F26:F29)</f>
        <v/>
      </c>
      <c r="F62" s="502">
        <f>SUM('CLS - Input data'!G26:G29)</f>
        <v/>
      </c>
      <c r="G62" s="502">
        <f>SUM('CLS - Input data'!H26:H29)</f>
        <v/>
      </c>
      <c r="H62" s="502">
        <f>SUM('CLS - Input data'!I26:I29)</f>
        <v/>
      </c>
      <c r="I62" s="502">
        <f>SUM('CLS - Input data'!J26:J29)</f>
        <v/>
      </c>
      <c r="J62" s="502">
        <f>SUM('CLS - Input data'!K26:K29)</f>
        <v/>
      </c>
      <c r="K62" s="502">
        <f>SUM('CLS - Input data'!L26:L29)</f>
        <v/>
      </c>
      <c r="L62" s="502">
        <f>SUM('CLS - Input data'!M26:M29)</f>
        <v/>
      </c>
      <c r="M62" s="502">
        <f>SUM('CLS - Input data'!N26:N29)</f>
        <v/>
      </c>
      <c r="N62" s="502">
        <f>SUM('CLS - Input data'!O26:O29)</f>
        <v/>
      </c>
      <c r="O62" s="502">
        <f>SUM('CLS - Input data'!P26:P29)</f>
        <v/>
      </c>
      <c r="P62" s="502">
        <f>SUM('CLS - Input data'!Q26:Q29)</f>
        <v/>
      </c>
      <c r="Q62" s="503">
        <f>SUM('CLS - Input data'!R26:R29)</f>
        <v/>
      </c>
    </row>
    <row r="64">
      <c r="B64" s="22" t="inlineStr">
        <is>
          <t>Participants</t>
        </is>
      </c>
      <c r="C64" s="50" t="n">
        <v>1</v>
      </c>
      <c r="D64" s="50" t="n">
        <v>2</v>
      </c>
      <c r="E64" s="50" t="n">
        <v>3</v>
      </c>
      <c r="F64" s="50" t="n">
        <v>4</v>
      </c>
      <c r="G64" s="50" t="n">
        <v>5</v>
      </c>
      <c r="H64" s="50" t="n">
        <v>6</v>
      </c>
      <c r="I64" s="50" t="n">
        <v>7</v>
      </c>
      <c r="J64" s="50" t="n">
        <v>8</v>
      </c>
      <c r="K64" s="50" t="n">
        <v>9</v>
      </c>
      <c r="L64" s="50" t="n">
        <v>10</v>
      </c>
      <c r="M64" s="50" t="n">
        <v>11</v>
      </c>
      <c r="N64" s="50" t="n">
        <v>12</v>
      </c>
      <c r="O64" s="50" t="n">
        <v>13</v>
      </c>
      <c r="P64" s="50" t="n">
        <v>14</v>
      </c>
      <c r="Q64" s="50" t="n">
        <v>15</v>
      </c>
    </row>
    <row r="65">
      <c r="B65" s="22" t="inlineStr">
        <is>
          <t>Persons per room</t>
        </is>
      </c>
      <c r="C65" s="451">
        <f>'CLS - Input data'!D18/'CLS - Input data'!D23</f>
        <v/>
      </c>
      <c r="D65" s="451">
        <f>'CLS - Input data'!E18/'CLS - Input data'!E23</f>
        <v/>
      </c>
      <c r="E65" s="451">
        <f>'CLS - Input data'!F18/'CLS - Input data'!F23</f>
        <v/>
      </c>
      <c r="F65" s="451">
        <f>'CLS - Input data'!G18/'CLS - Input data'!G23</f>
        <v/>
      </c>
      <c r="G65" s="451">
        <f>'CLS - Input data'!H18/'CLS - Input data'!H23</f>
        <v/>
      </c>
      <c r="H65" s="451">
        <f>'CLS - Input data'!I18/'CLS - Input data'!I23</f>
        <v/>
      </c>
      <c r="I65" s="451">
        <f>'CLS - Input data'!J18/'CLS - Input data'!J23</f>
        <v/>
      </c>
      <c r="J65" s="451">
        <f>'CLS - Input data'!K18/'CLS - Input data'!K23</f>
        <v/>
      </c>
      <c r="K65" s="451">
        <f>'CLS - Input data'!L18/'CLS - Input data'!L23</f>
        <v/>
      </c>
      <c r="L65" s="451">
        <f>'CLS - Input data'!M18/'CLS - Input data'!M23</f>
        <v/>
      </c>
      <c r="M65" s="451">
        <f>'CLS - Input data'!N18/'CLS - Input data'!N23</f>
        <v/>
      </c>
      <c r="N65" s="451">
        <f>'CLS - Input data'!O18/'CLS - Input data'!O23</f>
        <v/>
      </c>
      <c r="O65" s="451">
        <f>'CLS - Input data'!P18/'CLS - Input data'!P23</f>
        <v/>
      </c>
      <c r="P65" s="451">
        <f>'CLS - Input data'!Q18/'CLS - Input data'!Q23</f>
        <v/>
      </c>
      <c r="Q65" s="451">
        <f>'CLS - Input data'!R18/'CLS - Input data'!R23</f>
        <v/>
      </c>
    </row>
    <row r="66">
      <c r="P66" s="456" t="n"/>
    </row>
    <row r="67" ht="46.5" customHeight="1">
      <c r="B67" s="37" t="inlineStr">
        <is>
          <t>Participant</t>
        </is>
      </c>
      <c r="C67" s="38" t="inlineStr">
        <is>
          <t>Cost of rent inc utilities (LCU / month)</t>
        </is>
      </c>
      <c r="D67" s="38" t="inlineStr">
        <is>
          <t>Cost of rent only</t>
        </is>
      </c>
      <c r="E67" s="38" t="inlineStr">
        <is>
          <t>Cost of water</t>
        </is>
      </c>
      <c r="F67" s="38" t="inlineStr">
        <is>
          <t>Cost of electricity</t>
        </is>
      </c>
      <c r="G67" s="38" t="inlineStr">
        <is>
          <t>Cost of cooking fuels</t>
        </is>
      </c>
      <c r="H67" s="38" t="inlineStr">
        <is>
          <t>Cost per person</t>
        </is>
      </c>
      <c r="I67" s="38" t="inlineStr">
        <is>
          <t>Cost per room</t>
        </is>
      </c>
      <c r="J67" s="38" t="inlineStr">
        <is>
          <t>Cost per room</t>
        </is>
      </c>
      <c r="K67" s="38" t="inlineStr">
        <is>
          <t>Cost per sqmt</t>
        </is>
      </c>
      <c r="P67" s="456" t="n"/>
    </row>
    <row r="68">
      <c r="B68" s="22" t="inlineStr">
        <is>
          <t>Survey #1</t>
        </is>
      </c>
      <c r="C68" s="52">
        <f t="array" ref="C68:C82">TRANSPOSE('Background calculations'!C62:Q62)</f>
        <v/>
      </c>
      <c r="D68" s="52">
        <f t="array" ref="D68:D82">TRANSPOSE('CLS - Input data'!D26:R26)</f>
        <v/>
      </c>
      <c r="E68" s="52">
        <f t="array" ref="E68:E82">TRANSPOSE('CLS - Input data'!D27:R27)</f>
        <v/>
      </c>
      <c r="F68" s="52">
        <f t="array" ref="F68:F82">TRANSPOSE('CLS - Input data'!D28:R28)</f>
        <v/>
      </c>
      <c r="G68" s="52">
        <f t="array" ref="G68:G82">TRANSPOSE('CLS - Input data'!D29:R29)</f>
        <v/>
      </c>
      <c r="H68" s="52">
        <f>C68/'Background calculations'!D43</f>
        <v/>
      </c>
      <c r="I68" s="52">
        <f>C68/'Background calculations'!F43</f>
        <v/>
      </c>
      <c r="J68" s="52">
        <f>IF('Background calculations'!C43=TRUE, I68,"")</f>
        <v/>
      </c>
      <c r="K68" s="52">
        <f>C68/'Background calculations'!H43</f>
        <v/>
      </c>
      <c r="M68" s="125" t="n"/>
      <c r="N68" s="125" t="n"/>
      <c r="P68" s="456" t="n"/>
    </row>
    <row r="69">
      <c r="B69" s="22" t="inlineStr">
        <is>
          <t>Survey #2</t>
        </is>
      </c>
      <c r="C69" s="52" t="n">
        <v>140500</v>
      </c>
      <c r="D69" s="52" t="n">
        <v>60000</v>
      </c>
      <c r="E69" s="52" t="n">
        <v>10500</v>
      </c>
      <c r="F69" s="52" t="n">
        <v>10000</v>
      </c>
      <c r="G69" s="52" t="n">
        <v>60000</v>
      </c>
      <c r="H69" s="52">
        <f>C69/'Background calculations'!D44</f>
        <v/>
      </c>
      <c r="I69" s="52">
        <f>C69/'Background calculations'!F44</f>
        <v/>
      </c>
      <c r="J69" s="52">
        <f>IF('Background calculations'!C44=TRUE, I69,"")</f>
        <v/>
      </c>
      <c r="K69" s="52">
        <f>C69/'Background calculations'!H44</f>
        <v/>
      </c>
      <c r="M69" s="125" t="n"/>
      <c r="N69" s="125" t="n"/>
      <c r="P69" s="456" t="n"/>
    </row>
    <row r="70">
      <c r="B70" s="22" t="inlineStr">
        <is>
          <t>Survey #3</t>
        </is>
      </c>
      <c r="C70" s="52" t="n">
        <v>151000</v>
      </c>
      <c r="D70" s="52" t="n">
        <v>70000</v>
      </c>
      <c r="E70" s="52" t="n">
        <v>9000</v>
      </c>
      <c r="F70" s="52" t="n">
        <v>12000</v>
      </c>
      <c r="G70" s="52" t="n">
        <v>60000</v>
      </c>
      <c r="H70" s="52">
        <f>C70/'Background calculations'!D45</f>
        <v/>
      </c>
      <c r="I70" s="52">
        <f>C70/'Background calculations'!F45</f>
        <v/>
      </c>
      <c r="J70" s="52">
        <f>IF('Background calculations'!C45=TRUE, I70,"")</f>
        <v/>
      </c>
      <c r="K70" s="52">
        <f>C70/'Background calculations'!H45</f>
        <v/>
      </c>
      <c r="M70" s="125" t="n"/>
      <c r="N70" s="125" t="n"/>
      <c r="P70" s="456" t="n"/>
    </row>
    <row r="71">
      <c r="B71" s="22" t="inlineStr">
        <is>
          <t>Survey #4</t>
        </is>
      </c>
      <c r="C71" s="52" t="n">
        <v>111500</v>
      </c>
      <c r="D71" s="52" t="n">
        <v>50000</v>
      </c>
      <c r="E71" s="52" t="n">
        <v>1500</v>
      </c>
      <c r="F71" s="52" t="n">
        <v>0</v>
      </c>
      <c r="G71" s="52" t="n">
        <v>60000</v>
      </c>
      <c r="H71" s="52">
        <f>C71/'Background calculations'!D46</f>
        <v/>
      </c>
      <c r="I71" s="52">
        <f>C71/'Background calculations'!F46</f>
        <v/>
      </c>
      <c r="J71" s="52">
        <f>IF('Background calculations'!C46=TRUE, I71,"")</f>
        <v/>
      </c>
      <c r="K71" s="52">
        <f>C71/'Background calculations'!H46</f>
        <v/>
      </c>
      <c r="M71" s="125" t="n"/>
      <c r="N71" s="125" t="n"/>
      <c r="P71" s="456" t="n"/>
    </row>
    <row r="72">
      <c r="B72" s="22" t="inlineStr">
        <is>
          <t>Survey #5</t>
        </is>
      </c>
      <c r="C72" s="52" t="n">
        <v>119000</v>
      </c>
      <c r="D72" s="52" t="n">
        <v>50000</v>
      </c>
      <c r="E72" s="52" t="n">
        <v>9000</v>
      </c>
      <c r="F72" s="52" t="n">
        <v>0</v>
      </c>
      <c r="G72" s="52" t="n">
        <v>60000</v>
      </c>
      <c r="H72" s="52">
        <f>C72/'Background calculations'!D47</f>
        <v/>
      </c>
      <c r="I72" s="52">
        <f>C72/'Background calculations'!F47</f>
        <v/>
      </c>
      <c r="J72" s="52">
        <f>IF('Background calculations'!C47=TRUE, I72,"")</f>
        <v/>
      </c>
      <c r="K72" s="52">
        <f>C72/'Background calculations'!H47</f>
        <v/>
      </c>
      <c r="M72" s="125" t="n"/>
      <c r="N72" s="125" t="n"/>
      <c r="P72" s="456" t="n"/>
    </row>
    <row r="73">
      <c r="B73" s="22" t="inlineStr">
        <is>
          <t>Survey #6</t>
        </is>
      </c>
      <c r="C73" s="52" t="n">
        <v>150990</v>
      </c>
      <c r="D73" s="52" t="n">
        <v>30000</v>
      </c>
      <c r="E73" s="52" t="n">
        <v>990</v>
      </c>
      <c r="F73" s="52" t="n">
        <v>0</v>
      </c>
      <c r="G73" s="52" t="n">
        <v>120000</v>
      </c>
      <c r="H73" s="52">
        <f>C73/'Background calculations'!D48</f>
        <v/>
      </c>
      <c r="I73" s="52">
        <f>C73/'Background calculations'!F48</f>
        <v/>
      </c>
      <c r="J73" s="52">
        <f>IF('Background calculations'!C48=TRUE, I73,"")</f>
        <v/>
      </c>
      <c r="K73" s="52">
        <f>C73/'Background calculations'!H48</f>
        <v/>
      </c>
      <c r="M73" s="125" t="n"/>
      <c r="N73" s="125" t="n"/>
      <c r="P73" s="456" t="n"/>
    </row>
    <row r="74">
      <c r="B74" s="22" t="inlineStr">
        <is>
          <t>Survey #7</t>
        </is>
      </c>
      <c r="C74" s="52" t="n">
        <v>86500</v>
      </c>
      <c r="D74" s="52" t="n">
        <v>25000</v>
      </c>
      <c r="E74" s="52" t="n">
        <v>1500</v>
      </c>
      <c r="F74" s="52" t="n">
        <v>0</v>
      </c>
      <c r="G74" s="52" t="n">
        <v>60000</v>
      </c>
      <c r="H74" s="52">
        <f>C74/'Background calculations'!D49</f>
        <v/>
      </c>
      <c r="I74" s="52">
        <f>C74/'Background calculations'!F49</f>
        <v/>
      </c>
      <c r="J74" s="52">
        <f>IF('Background calculations'!C49=TRUE, I74,"")</f>
        <v/>
      </c>
      <c r="K74" s="52">
        <f>C74/'Background calculations'!H49</f>
        <v/>
      </c>
      <c r="M74" s="125" t="n"/>
      <c r="N74" s="125" t="n"/>
      <c r="P74" s="456" t="n"/>
    </row>
    <row r="75">
      <c r="B75" s="22" t="inlineStr">
        <is>
          <t>Survey #8</t>
        </is>
      </c>
      <c r="C75" s="52" t="n">
        <v>118000</v>
      </c>
      <c r="D75" s="52" t="n">
        <v>40000</v>
      </c>
      <c r="E75" s="52" t="n">
        <v>18000</v>
      </c>
      <c r="F75" s="52" t="n">
        <v>0</v>
      </c>
      <c r="G75" s="52" t="n">
        <v>60000</v>
      </c>
      <c r="H75" s="52">
        <f>C75/'Background calculations'!D50</f>
        <v/>
      </c>
      <c r="I75" s="52">
        <f>C75/'Background calculations'!F50</f>
        <v/>
      </c>
      <c r="J75" s="52">
        <f>IF('Background calculations'!C50=TRUE, I75,"")</f>
        <v/>
      </c>
      <c r="K75" s="52">
        <f>C75/'Background calculations'!H50</f>
        <v/>
      </c>
      <c r="M75" s="125" t="n"/>
      <c r="N75" s="125" t="n"/>
      <c r="P75" s="456" t="n"/>
    </row>
    <row r="76">
      <c r="B76" s="22" t="inlineStr">
        <is>
          <t>Survey #9</t>
        </is>
      </c>
      <c r="C76" s="52" t="n">
        <v>162010</v>
      </c>
      <c r="D76" s="52" t="n">
        <v>40000</v>
      </c>
      <c r="E76" s="52" t="n">
        <v>2010</v>
      </c>
      <c r="F76" s="52" t="n">
        <v>0</v>
      </c>
      <c r="G76" s="52" t="n">
        <v>120000</v>
      </c>
      <c r="H76" s="52">
        <f>C76/'Background calculations'!D51</f>
        <v/>
      </c>
      <c r="I76" s="52">
        <f>C76/'Background calculations'!F51</f>
        <v/>
      </c>
      <c r="J76" s="52">
        <f>IF('Background calculations'!C51=TRUE, I76,"")</f>
        <v/>
      </c>
      <c r="K76" s="52">
        <f>C76/'Background calculations'!H51</f>
        <v/>
      </c>
      <c r="M76" s="125" t="n"/>
      <c r="N76" s="125" t="n"/>
      <c r="P76" s="456" t="n"/>
    </row>
    <row r="77">
      <c r="B77" s="22" t="inlineStr">
        <is>
          <t>Survey #10</t>
        </is>
      </c>
      <c r="C77" s="52" t="n">
        <v>171500</v>
      </c>
      <c r="D77" s="52" t="n">
        <v>100000</v>
      </c>
      <c r="E77" s="52" t="n">
        <v>1500</v>
      </c>
      <c r="F77" s="52" t="n">
        <v>0</v>
      </c>
      <c r="G77" s="52" t="n">
        <v>70000</v>
      </c>
      <c r="H77" s="52">
        <f>C77/'Background calculations'!D52</f>
        <v/>
      </c>
      <c r="I77" s="52">
        <f>C77/'Background calculations'!F52</f>
        <v/>
      </c>
      <c r="J77" s="52">
        <f>IF('Background calculations'!C52=TRUE, I77,"")</f>
        <v/>
      </c>
      <c r="K77" s="52">
        <f>C77/'Background calculations'!H52</f>
        <v/>
      </c>
      <c r="M77" s="125" t="n"/>
      <c r="N77" s="125" t="n"/>
      <c r="P77" s="456" t="n"/>
    </row>
    <row r="78">
      <c r="B78" s="22" t="inlineStr">
        <is>
          <t>Survey #11</t>
        </is>
      </c>
      <c r="C78" s="52" t="n">
        <v>128167</v>
      </c>
      <c r="D78" s="52" t="n">
        <v>40000</v>
      </c>
      <c r="E78" s="52" t="n">
        <v>1500</v>
      </c>
      <c r="F78" s="52" t="n">
        <v>26667</v>
      </c>
      <c r="G78" s="52" t="n">
        <v>60000</v>
      </c>
      <c r="H78" s="52">
        <f>C78/'Background calculations'!D53</f>
        <v/>
      </c>
      <c r="I78" s="52">
        <f>C78/'Background calculations'!F53</f>
        <v/>
      </c>
      <c r="J78" s="52">
        <f>IF('Background calculations'!C53=TRUE, I78,"")</f>
        <v/>
      </c>
      <c r="K78" s="52">
        <f>C78/'Background calculations'!H53</f>
        <v/>
      </c>
      <c r="M78" s="125" t="n"/>
      <c r="N78" s="125" t="n"/>
      <c r="P78" s="456" t="n"/>
    </row>
    <row r="79">
      <c r="B79" s="22" t="inlineStr">
        <is>
          <t>Survey #12</t>
        </is>
      </c>
      <c r="C79" s="52" t="n">
        <v>255000</v>
      </c>
      <c r="D79" s="52" t="n">
        <v>150000</v>
      </c>
      <c r="E79" s="52" t="n">
        <v>45000</v>
      </c>
      <c r="F79" s="52" t="n">
        <v>0</v>
      </c>
      <c r="G79" s="52" t="n">
        <v>60000</v>
      </c>
      <c r="H79" s="52">
        <f>C79/'Background calculations'!D54</f>
        <v/>
      </c>
      <c r="I79" s="52">
        <f>C79/'Background calculations'!F54</f>
        <v/>
      </c>
      <c r="J79" s="52">
        <f>IF('Background calculations'!C54=TRUE, I79,"")</f>
        <v/>
      </c>
      <c r="K79" s="52">
        <f>C79/'Background calculations'!H54</f>
        <v/>
      </c>
      <c r="M79" s="125" t="n"/>
      <c r="N79" s="125" t="n"/>
      <c r="P79" s="456" t="n"/>
    </row>
    <row r="80">
      <c r="B80" s="22" t="inlineStr">
        <is>
          <t>Survey #13</t>
        </is>
      </c>
      <c r="C80" s="52" t="n">
        <v>80600</v>
      </c>
      <c r="D80" s="52" t="n">
        <v>20000</v>
      </c>
      <c r="E80" s="52" t="n">
        <v>600</v>
      </c>
      <c r="F80" s="52" t="n">
        <v>0</v>
      </c>
      <c r="G80" s="52" t="n">
        <v>60000</v>
      </c>
      <c r="H80" s="52">
        <f>C80/'Background calculations'!D55</f>
        <v/>
      </c>
      <c r="I80" s="52">
        <f>C80/'Background calculations'!F55</f>
        <v/>
      </c>
      <c r="J80" s="52">
        <f>IF('Background calculations'!C55=TRUE, I80,"")</f>
        <v/>
      </c>
      <c r="K80" s="52">
        <f>C80/'Background calculations'!H55</f>
        <v/>
      </c>
      <c r="M80" s="125" t="n"/>
      <c r="N80" s="125" t="n"/>
      <c r="P80" s="456" t="n"/>
    </row>
    <row r="81">
      <c r="B81" s="22" t="inlineStr">
        <is>
          <t>Survey #14</t>
        </is>
      </c>
      <c r="C81" s="52" t="n">
        <v>93000</v>
      </c>
      <c r="D81" s="52" t="n">
        <v>30000</v>
      </c>
      <c r="E81" s="52" t="n">
        <v>3000</v>
      </c>
      <c r="F81" s="52" t="n">
        <v>0</v>
      </c>
      <c r="G81" s="52" t="n">
        <v>60000</v>
      </c>
      <c r="H81" s="52">
        <f>C81/'Background calculations'!D56</f>
        <v/>
      </c>
      <c r="I81" s="52">
        <f>C81/'Background calculations'!F56</f>
        <v/>
      </c>
      <c r="J81" s="52">
        <f>IF('Background calculations'!C56=TRUE, I81,"")</f>
        <v/>
      </c>
      <c r="K81" s="52">
        <f>C81/'Background calculations'!H56</f>
        <v/>
      </c>
      <c r="M81" s="125" t="n"/>
      <c r="N81" s="125" t="n"/>
      <c r="P81" s="456" t="n"/>
    </row>
    <row r="82">
      <c r="B82" s="22" t="inlineStr">
        <is>
          <t>Survey #15</t>
        </is>
      </c>
      <c r="C82" s="46" t="n">
        <v>111680</v>
      </c>
      <c r="D82" s="46" t="n">
        <v>50000</v>
      </c>
      <c r="E82" s="46" t="n">
        <v>1680</v>
      </c>
      <c r="F82" s="374" t="n">
        <v>0</v>
      </c>
      <c r="G82" s="46" t="n">
        <v>60000</v>
      </c>
      <c r="H82" s="52">
        <f>C82/'Background calculations'!D57</f>
        <v/>
      </c>
      <c r="I82" s="52">
        <f>C82/'Background calculations'!F57</f>
        <v/>
      </c>
      <c r="J82" s="52">
        <f>IF('Background calculations'!C57=TRUE, I82,"")</f>
        <v/>
      </c>
      <c r="K82" s="52">
        <f>C82/'Background calculations'!H57</f>
        <v/>
      </c>
      <c r="M82" s="125" t="n"/>
      <c r="N82" s="125" t="n"/>
      <c r="P82" s="456" t="n"/>
    </row>
    <row r="83">
      <c r="C83" s="436" t="n"/>
      <c r="D83" s="436" t="n"/>
      <c r="E83" s="436" t="n"/>
      <c r="F83" s="436" t="n"/>
      <c r="G83" s="436" t="n"/>
      <c r="H83" s="436" t="n"/>
      <c r="I83" s="436" t="n"/>
      <c r="J83" s="436" t="n"/>
      <c r="K83" s="436" t="n"/>
    </row>
    <row r="84" ht="16" customHeight="1">
      <c r="B84" s="54" t="inlineStr">
        <is>
          <t>Average (of households within decent standard)</t>
        </is>
      </c>
      <c r="C84" s="504">
        <f>AVERAGEIFS(C68:C82,$C$43:$C$57,TRUE,C68:C82,"&gt;"&amp;0)</f>
        <v/>
      </c>
      <c r="D84" s="504">
        <f>AVERAGEIFS('Background calculations'!D68:D82,'Background calculations'!$C$43:$C$57,TRUE,'Background calculations'!D68:D82,"&gt;"&amp;0)</f>
        <v/>
      </c>
      <c r="E84" s="504">
        <f>AVERAGEIFS('Background calculations'!E68:E82,'Background calculations'!$C$43:$C$57,TRUE,'Background calculations'!E68:E82,"&gt;"&amp;0)</f>
        <v/>
      </c>
      <c r="F84" s="504">
        <f>AVERAGEIFS('Background calculations'!F68:F82,'Background calculations'!$C$43:$C$57,TRUE,'Background calculations'!F68:F82,"&gt;"&amp;0)</f>
        <v/>
      </c>
      <c r="G84" s="504">
        <f>AVERAGEIFS('Background calculations'!G68:G82,'Background calculations'!$C$43:$C$57,TRUE,'Background calculations'!G68:G82,"&gt;"&amp;0)</f>
        <v/>
      </c>
      <c r="H84" s="504">
        <f>AVERAGEIFS('Background calculations'!H68:H82,'Background calculations'!$C$43:$C$57,TRUE,'Background calculations'!H68:H82,"&gt;"&amp;0)</f>
        <v/>
      </c>
      <c r="I84" s="504">
        <f>AVERAGEIFS('Background calculations'!I68:I82,'Background calculations'!$C$43:$C$57,TRUE,'Background calculations'!I68:I82,"&gt;"&amp;0)</f>
        <v/>
      </c>
      <c r="J84" s="504">
        <f>_xlfn.QUARTILE.EXC('Background calculations'!J68:J79,1)</f>
        <v/>
      </c>
      <c r="K84" s="504">
        <f>AVERAGEIFS('Background calculations'!K68:K82,'Background calculations'!$C$43:$C$57,TRUE,'Background calculations'!K68:K82,"&gt;"&amp;0)</f>
        <v/>
      </c>
      <c r="M84" s="125" t="n"/>
      <c r="N84" s="125" t="n"/>
      <c r="O84" s="329" t="n"/>
      <c r="P84" s="456" t="n"/>
      <c r="Q84" s="456" t="n"/>
      <c r="R84" s="329" t="n"/>
    </row>
    <row r="86" ht="15.75" customHeight="1"/>
    <row r="87" ht="18.75" customHeight="1">
      <c r="B87" s="28" t="inlineStr">
        <is>
          <t>Average Cost Share</t>
        </is>
      </c>
      <c r="C87" s="28" t="n"/>
      <c r="D87" s="28" t="n"/>
      <c r="E87" s="28" t="n"/>
      <c r="F87" s="28" t="n"/>
      <c r="G87" s="28" t="n"/>
      <c r="H87" s="28" t="n"/>
      <c r="I87" s="28" t="n"/>
      <c r="J87" s="28" t="n"/>
      <c r="K87" s="28" t="n"/>
      <c r="L87" s="28" t="n"/>
      <c r="M87" s="28" t="n"/>
      <c r="N87" s="28" t="n"/>
      <c r="O87" s="28" t="n"/>
      <c r="P87" s="28" t="n"/>
      <c r="Q87" s="28" t="n"/>
      <c r="R87" s="28" t="n"/>
      <c r="S87" s="28" t="n"/>
    </row>
    <row r="88" ht="15.75" customHeight="1"/>
    <row r="89" ht="15.75" customHeight="1">
      <c r="B89" s="22" t="inlineStr">
        <is>
          <t>Rent</t>
        </is>
      </c>
      <c r="C89" s="56">
        <f>'Background calculations'!D84/SUM('Background calculations'!$D$84:$G$84)</f>
        <v/>
      </c>
    </row>
    <row r="90" ht="15.75" customHeight="1">
      <c r="B90" s="22" t="inlineStr">
        <is>
          <t>Electricity</t>
        </is>
      </c>
      <c r="C90" s="56">
        <f>'Background calculations'!F84/SUM('Background calculations'!$D$84:$G$84)</f>
        <v/>
      </c>
    </row>
    <row r="91" ht="15.75" customHeight="1">
      <c r="B91" s="22" t="inlineStr">
        <is>
          <t>Water</t>
        </is>
      </c>
      <c r="C91" s="56">
        <f>'Background calculations'!E84/SUM('Background calculations'!$D$84:$G$84)</f>
        <v/>
      </c>
    </row>
    <row r="92" ht="15.75" customHeight="1">
      <c r="B92" s="22" t="inlineStr">
        <is>
          <t>Cooking fuels</t>
        </is>
      </c>
      <c r="C92" s="56">
        <f>'Background calculations'!G84/SUM('Background calculations'!$D$84:$G$84)</f>
        <v/>
      </c>
    </row>
    <row r="96" ht="21.75" customFormat="1" customHeight="1" s="25">
      <c r="B96" s="24" t="inlineStr">
        <is>
          <t>III. FOOD COST CALCULATIONS</t>
        </is>
      </c>
    </row>
    <row r="98">
      <c r="B98" s="28" t="inlineStr">
        <is>
          <t>1A) Target energy consumption delta</t>
        </is>
      </c>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row>
    <row r="100" ht="16" customHeight="1">
      <c r="B100" s="22" t="inlineStr">
        <is>
          <t>Target</t>
        </is>
      </c>
      <c r="C100" s="451">
        <f>'3. Food costs'!D35</f>
        <v/>
      </c>
      <c r="I100" s="57" t="n"/>
    </row>
    <row r="101">
      <c r="B101" s="22" t="inlineStr">
        <is>
          <t>Calculated</t>
        </is>
      </c>
      <c r="C101" s="451">
        <f>'3. Food costs'!E35</f>
        <v/>
      </c>
    </row>
    <row r="102">
      <c r="B102" s="22" t="inlineStr">
        <is>
          <t>Delta (max 1 %)</t>
        </is>
      </c>
      <c r="C102" s="58">
        <f>ABS(C101-C100)/C100</f>
        <v/>
      </c>
    </row>
    <row r="103">
      <c r="C103" s="59" t="n"/>
      <c r="S103" s="50" t="n"/>
    </row>
    <row r="104">
      <c r="B104" s="60" t="inlineStr">
        <is>
          <t>Assumptions</t>
        </is>
      </c>
      <c r="C104" s="59" t="n"/>
      <c r="S104" s="50" t="n"/>
    </row>
    <row r="105">
      <c r="C105" s="59" t="n"/>
      <c r="S105" s="50" t="n"/>
    </row>
    <row r="106">
      <c r="B106" s="22" t="inlineStr">
        <is>
          <t>Activity Level</t>
        </is>
      </c>
      <c r="C106" s="61">
        <f>IF(ISBLANK('Nutritional input'!E14),B141,'Nutritional input'!E14)</f>
        <v/>
      </c>
    </row>
    <row r="108" ht="16" customHeight="1">
      <c r="B108" s="22" t="inlineStr">
        <is>
          <t>BMI</t>
        </is>
      </c>
      <c r="C108" s="62" t="n">
        <v>21</v>
      </c>
      <c r="D108" s="63" t="inlineStr">
        <is>
          <t>Source: Anker</t>
        </is>
      </c>
    </row>
    <row r="109">
      <c r="Q109" s="64" t="inlineStr">
        <is>
          <t xml:space="preserve"> </t>
        </is>
      </c>
    </row>
    <row r="110" ht="16" customHeight="1">
      <c r="B110" s="65" t="inlineStr">
        <is>
          <t>Stature ratio (male to female)</t>
        </is>
      </c>
      <c r="C110" s="62" t="n">
        <v>1.08</v>
      </c>
      <c r="D110" s="63" t="inlineStr">
        <is>
          <t>Source: Anker</t>
        </is>
      </c>
      <c r="Q110" s="64" t="n"/>
    </row>
    <row r="111">
      <c r="Q111" s="64" t="n"/>
    </row>
    <row r="112">
      <c r="Q112" s="64" t="n"/>
    </row>
    <row r="113" ht="14.5" customHeight="1">
      <c r="B113" s="66" t="inlineStr">
        <is>
          <t>Adult</t>
        </is>
      </c>
      <c r="C113" s="67" t="inlineStr">
        <is>
          <t>Height (in meters)</t>
        </is>
      </c>
      <c r="D113" s="67" t="inlineStr">
        <is>
          <t>Height squared</t>
        </is>
      </c>
      <c r="E113" s="67" t="inlineStr">
        <is>
          <t>Weight at assumed BMI</t>
        </is>
      </c>
      <c r="Q113" s="57" t="n"/>
    </row>
    <row r="114" ht="16" customHeight="1">
      <c r="B114" s="22" t="inlineStr">
        <is>
          <t>MALE</t>
        </is>
      </c>
      <c r="C114" s="46">
        <f>IF(ISBLANK('Nutritional input'!E12),'Nutritional input'!G12*C115,'Nutritional input'!E12)</f>
        <v/>
      </c>
      <c r="D114" s="46">
        <f>IFERROR(C114*C114," ")</f>
        <v/>
      </c>
      <c r="E114" s="46">
        <f>IFERROR($C$108*D114," ")</f>
        <v/>
      </c>
      <c r="Q114" s="57" t="n"/>
    </row>
    <row r="115">
      <c r="B115" s="22" t="inlineStr">
        <is>
          <t>F/M Ratio</t>
        </is>
      </c>
      <c r="C115" s="46">
        <f>C110</f>
        <v/>
      </c>
      <c r="D115" s="436" t="n"/>
      <c r="E115" s="436" t="n"/>
    </row>
    <row r="116">
      <c r="F116" s="34" t="n"/>
    </row>
    <row r="117">
      <c r="C117" s="68" t="inlineStr">
        <is>
          <t>Sedentary</t>
        </is>
      </c>
      <c r="D117" s="68" t="inlineStr">
        <is>
          <t>Moderate</t>
        </is>
      </c>
      <c r="E117" s="68" t="inlineStr">
        <is>
          <t>Vigorous</t>
        </is>
      </c>
      <c r="F117" s="60" t="n"/>
    </row>
    <row r="118">
      <c r="B118" s="22" t="inlineStr">
        <is>
          <t>PAL range</t>
        </is>
      </c>
      <c r="C118" s="69" t="inlineStr">
        <is>
          <t>1.40-1.69</t>
        </is>
      </c>
      <c r="D118" s="69" t="inlineStr">
        <is>
          <t>1.70-1.99</t>
        </is>
      </c>
      <c r="E118" s="69" t="inlineStr">
        <is>
          <t>2.00-2.40</t>
        </is>
      </c>
    </row>
    <row r="119">
      <c r="B119" s="22" t="inlineStr">
        <is>
          <t>Mean PAL</t>
        </is>
      </c>
      <c r="C119" s="69" t="n">
        <v>1.55</v>
      </c>
      <c r="D119" s="69" t="n">
        <v>1.85</v>
      </c>
      <c r="E119" s="69" t="n">
        <v>2.2</v>
      </c>
    </row>
    <row r="120" ht="16" customHeight="1">
      <c r="B120" s="57" t="n"/>
    </row>
    <row r="121" ht="16" customHeight="1">
      <c r="B121" s="57" t="n"/>
    </row>
    <row r="122">
      <c r="B122" s="60" t="inlineStr">
        <is>
          <t>Calorie needs per day (BMR*PAL) - automatically filled in</t>
        </is>
      </c>
      <c r="C122" s="60" t="n"/>
      <c r="D122" s="60" t="n"/>
      <c r="E122" s="60" t="n"/>
      <c r="F122" s="64" t="n"/>
    </row>
    <row r="124" ht="32" customHeight="1">
      <c r="B124" s="441" t="inlineStr">
        <is>
          <t>Age</t>
        </is>
      </c>
      <c r="C124" s="70" t="inlineStr">
        <is>
          <t>BMR from Schonfield equations</t>
        </is>
      </c>
      <c r="D124" s="68" t="n"/>
      <c r="E124" s="68" t="inlineStr">
        <is>
          <t>Sedentary</t>
        </is>
      </c>
      <c r="F124" s="68" t="inlineStr">
        <is>
          <t>Moderate</t>
        </is>
      </c>
      <c r="G124" s="68" t="inlineStr">
        <is>
          <t>Vigorous</t>
        </is>
      </c>
      <c r="J124" s="57" t="n"/>
      <c r="Q124" s="57" t="n"/>
    </row>
    <row r="125" ht="16" customHeight="1">
      <c r="B125" s="22" t="n"/>
      <c r="C125" s="68" t="inlineStr">
        <is>
          <t>Adult Males</t>
        </is>
      </c>
      <c r="D125" s="68" t="n"/>
      <c r="E125" s="68" t="n"/>
      <c r="F125" s="68" t="n"/>
      <c r="G125" s="68" t="n"/>
      <c r="Q125" s="57" t="n"/>
    </row>
    <row r="126">
      <c r="B126" s="22" t="inlineStr">
        <is>
          <t>18-30</t>
        </is>
      </c>
      <c r="C126" s="71">
        <f>IFERROR(692.2+(15.057*$E$114)," ")</f>
        <v/>
      </c>
      <c r="D126" s="71" t="n"/>
      <c r="E126" s="71">
        <f>IFERROR($C126*$C$119, " ")</f>
        <v/>
      </c>
      <c r="F126" s="71">
        <f>IFERROR($C126*$D$119, " ")</f>
        <v/>
      </c>
      <c r="G126" s="71">
        <f>IFERROR($C126*$E$119, " ")</f>
        <v/>
      </c>
    </row>
    <row r="127">
      <c r="B127" s="22" t="inlineStr">
        <is>
          <t>30-60</t>
        </is>
      </c>
      <c r="C127" s="71">
        <f>IFERROR(873.1+(11.472*$E$114)," ")</f>
        <v/>
      </c>
      <c r="D127" s="71" t="n"/>
      <c r="E127" s="71">
        <f>IFERROR($C127*$C$119, " ")</f>
        <v/>
      </c>
      <c r="F127" s="71">
        <f>IFERROR($C127*$D$119, " ")</f>
        <v/>
      </c>
      <c r="G127" s="71">
        <f>IFERROR($C127*$E$119, " ")</f>
        <v/>
      </c>
    </row>
    <row r="128">
      <c r="B128" s="22" t="inlineStr">
        <is>
          <t>Average</t>
        </is>
      </c>
      <c r="C128" s="71">
        <f>AVERAGE(C126:D127)</f>
        <v/>
      </c>
      <c r="D128" s="71" t="n"/>
      <c r="E128" s="71">
        <f>IFERROR($C128*$C$119, " ")</f>
        <v/>
      </c>
      <c r="F128" s="71">
        <f>IFERROR($C128*$D$119, " ")</f>
        <v/>
      </c>
      <c r="G128" s="71">
        <f>IFERROR($C128*$E$119, " ")</f>
        <v/>
      </c>
    </row>
    <row r="131">
      <c r="B131" s="60" t="inlineStr">
        <is>
          <t>Dietary equivalences</t>
        </is>
      </c>
    </row>
    <row r="133">
      <c r="C133" s="68" t="inlineStr">
        <is>
          <t>Consumption (kCal)</t>
        </is>
      </c>
      <c r="D133" s="68" t="inlineStr">
        <is>
          <t>Estimated price Per person (LC)</t>
        </is>
      </c>
    </row>
    <row r="134">
      <c r="B134" s="22" t="inlineStr">
        <is>
          <t>Adult (male)</t>
        </is>
      </c>
      <c r="C134" s="52">
        <f>'3. Food costs'!D35</f>
        <v/>
      </c>
      <c r="D134" s="52">
        <f>'3. Food costs'!$E$21*(C134/'3. Food costs'!$D$35)</f>
        <v/>
      </c>
    </row>
    <row r="135">
      <c r="B135" s="22" t="inlineStr">
        <is>
          <t>Adult (female)</t>
        </is>
      </c>
      <c r="C135" s="52">
        <f>'3. Food costs'!D35*'Background calculations'!C250</f>
        <v/>
      </c>
      <c r="D135" s="52">
        <f>'3. Food costs'!$E$21*(C135/'3. Food costs'!$D$35)</f>
        <v/>
      </c>
    </row>
    <row r="136">
      <c r="B136" s="22" t="inlineStr">
        <is>
          <t>Child</t>
        </is>
      </c>
      <c r="C136" s="52">
        <f>'3. Food costs'!D35*'Background calculations'!C251</f>
        <v/>
      </c>
      <c r="D136" s="52">
        <f>'3. Food costs'!$E$21*(C136/'3. Food costs'!$D$35)</f>
        <v/>
      </c>
    </row>
    <row r="138">
      <c r="B138" s="60" t="inlineStr">
        <is>
          <t>LIST - Activity Level</t>
        </is>
      </c>
    </row>
    <row r="140">
      <c r="B140" s="22" t="inlineStr">
        <is>
          <t>Sedentary</t>
        </is>
      </c>
    </row>
    <row r="141">
      <c r="B141" s="22" t="inlineStr">
        <is>
          <t>Moderate</t>
        </is>
      </c>
    </row>
    <row r="142">
      <c r="B142" s="22" t="inlineStr">
        <is>
          <t>Vigorous</t>
        </is>
      </c>
    </row>
    <row r="145">
      <c r="B145" s="28" t="inlineStr">
        <is>
          <t>1B) Ranking food items by caloric content over price</t>
        </is>
      </c>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row>
    <row r="147">
      <c r="B147" s="60" t="inlineStr">
        <is>
          <t>Category</t>
        </is>
      </c>
      <c r="C147" s="60" t="inlineStr">
        <is>
          <t>Item</t>
        </is>
      </c>
      <c r="D147" s="60" t="inlineStr">
        <is>
          <t>Availability</t>
        </is>
      </c>
      <c r="E147" s="60" t="inlineStr">
        <is>
          <t>Most availble in category</t>
        </is>
      </c>
      <c r="F147" s="60" t="inlineStr">
        <is>
          <t>Widely available?</t>
        </is>
      </c>
      <c r="G147" s="60" t="inlineStr">
        <is>
          <t>Energy (kcal) per 100g edible portion</t>
        </is>
      </c>
      <c r="H147" s="60" t="inlineStr">
        <is>
          <t>Protein (g)</t>
        </is>
      </c>
      <c r="I147" s="60" t="inlineStr">
        <is>
          <t>Fat, total (g)</t>
        </is>
      </c>
      <c r="J147" s="60" t="inlineStr">
        <is>
          <t>Carbohydrate (g)</t>
        </is>
      </c>
      <c r="K147" s="60" t="inlineStr">
        <is>
          <t>Edible portion</t>
        </is>
      </c>
      <c r="L147" s="72" t="inlineStr">
        <is>
          <t>Price per calorie</t>
        </is>
      </c>
      <c r="M147" s="72" t="inlineStr">
        <is>
          <t>Caloric content2</t>
        </is>
      </c>
      <c r="N147" s="72" t="inlineStr">
        <is>
          <t>Count false</t>
        </is>
      </c>
      <c r="O147" s="72" t="inlineStr">
        <is>
          <t>subtract</t>
        </is>
      </c>
      <c r="P147" s="72" t="inlineStr">
        <is>
          <t>Final rank</t>
        </is>
      </c>
      <c r="Q147" s="72" t="inlineStr">
        <is>
          <t>lookup</t>
        </is>
      </c>
    </row>
    <row r="148">
      <c r="B148" s="22">
        <f>'Food costs - Input data'!B11</f>
        <v/>
      </c>
      <c r="C148" s="22">
        <f>'Food costs - Input data'!C11</f>
        <v/>
      </c>
      <c r="D148" s="497">
        <f>COUNTA('Food costs - Input data'!D11:AB11)</f>
        <v/>
      </c>
      <c r="E148" s="497">
        <f>_xlfn.MAXIFS(Table2[Availability],Table2[Category],Table2[[#This Row],[Category]])</f>
        <v/>
      </c>
      <c r="F148" s="497">
        <f>Table2[[#This Row],[Availability]] &gt;= 0.25*Table2[[#This Row],[Most availble in category]]</f>
        <v/>
      </c>
      <c r="G148" s="497">
        <f>(Table2[[#This Row],[Protein (g)]] * 4 +Table2[[#This Row],[Fat, total (g)]] * 9 + Table2[[#This Row],[Carbohydrate (g)]] *4 )</f>
        <v/>
      </c>
      <c r="H148" s="45">
        <f>'Nutritional input'!E30</f>
        <v/>
      </c>
      <c r="I148" s="45">
        <f>'Nutritional input'!F30</f>
        <v/>
      </c>
      <c r="J148" s="45">
        <f>'Nutritional input'!G30</f>
        <v/>
      </c>
      <c r="K148" s="45">
        <f>'Nutritional input'!H30</f>
        <v/>
      </c>
      <c r="L148" s="505">
        <f>IFERROR((_xlfn.XLOOKUP(Table2[[#This Row],[Item]],'Food costs - Input data'!C:C,'Food costs - Input data'!AE:AE)/Table2[[#This Row],[Edible portion]]) / (10*Table2[[#This Row],[Energy (kcal) per 100g edible portion]]),0)</f>
        <v/>
      </c>
      <c r="M148" s="45">
        <f t="array" ref="M148">SUMPRODUCT((Table2[Category]=Table2[[#This Row],[Category]])*(Table2[[#This Row],[Price per calorie]]&gt;Table2[Price per calorie]))+1</f>
        <v/>
      </c>
      <c r="N148" s="45">
        <f>IF(Table2[[#This Row],[Widely available?]]=FALSE,1,0)</f>
        <v/>
      </c>
      <c r="O148" s="45">
        <f>SUMIFS(Table2[Count false],Table2[Category],Table2[[#This Row],[Category]],Table2[Caloric content2],"&lt;"&amp;Table2[[#This Row],[Caloric content2]])</f>
        <v/>
      </c>
      <c r="P148" s="73">
        <f>IF(Table2[[#This Row],[Widely available?]]=TRUE,Table2[[#This Row],[Caloric content2]]-Table2[[#This Row],[subtract]],0)</f>
        <v/>
      </c>
      <c r="Q148" s="22">
        <f>IF(Table2[[#This Row],[Final rank]]&gt;0,Table2[[#This Row],[Category]]&amp;Table2[[#This Row],[Final rank]],"")</f>
        <v/>
      </c>
    </row>
    <row r="149">
      <c r="B149" s="22">
        <f>'Food costs - Input data'!B12</f>
        <v/>
      </c>
      <c r="C149" s="22">
        <f>'Food costs - Input data'!C12</f>
        <v/>
      </c>
      <c r="D149" s="497">
        <f>COUNTA('Food costs - Input data'!D12:AB12)</f>
        <v/>
      </c>
      <c r="E149" s="497">
        <f>_xlfn.MAXIFS(Table2[Availability],Table2[Category],Table2[[#This Row],[Category]])</f>
        <v/>
      </c>
      <c r="F149" s="497">
        <f>Table2[[#This Row],[Availability]] &gt;= 0.25*Table2[[#This Row],[Most availble in category]]</f>
        <v/>
      </c>
      <c r="G149" s="497">
        <f>(Table2[[#This Row],[Protein (g)]] * 4 +Table2[[#This Row],[Fat, total (g)]] * 9 + Table2[[#This Row],[Carbohydrate (g)]] *4 )</f>
        <v/>
      </c>
      <c r="H149" s="45">
        <f>'Nutritional input'!E31</f>
        <v/>
      </c>
      <c r="I149" s="45">
        <f>'Nutritional input'!F31</f>
        <v/>
      </c>
      <c r="J149" s="45">
        <f>'Nutritional input'!G31</f>
        <v/>
      </c>
      <c r="K149" s="45">
        <f>'Nutritional input'!H31</f>
        <v/>
      </c>
      <c r="L149" s="505">
        <f>IFERROR((_xlfn.XLOOKUP(Table2[[#This Row],[Item]],'Food costs - Input data'!C:C,'Food costs - Input data'!AE:AE)/Table2[[#This Row],[Edible portion]]) / (10*Table2[[#This Row],[Energy (kcal) per 100g edible portion]]),0)</f>
        <v/>
      </c>
      <c r="M149" s="45">
        <f t="array" ref="M149">SUMPRODUCT((Table2[Category]=Table2[[#This Row],[Category]])*(Table2[[#This Row],[Price per calorie]]&gt;Table2[Price per calorie]))+1</f>
        <v/>
      </c>
      <c r="N149" s="45">
        <f>IF(Table2[[#This Row],[Widely available?]]=FALSE,1,0)</f>
        <v/>
      </c>
      <c r="O149" s="45">
        <f>SUMIFS(Table2[Count false],Table2[Category],Table2[[#This Row],[Category]],Table2[Caloric content2],"&lt;"&amp;Table2[[#This Row],[Caloric content2]])</f>
        <v/>
      </c>
      <c r="P149" s="73">
        <f>IF(Table2[[#This Row],[Widely available?]]=TRUE,Table2[[#This Row],[Caloric content2]]-Table2[[#This Row],[subtract]],0)</f>
        <v/>
      </c>
      <c r="Q149" s="22">
        <f>IF(Table2[[#This Row],[Final rank]]&gt;0,Table2[[#This Row],[Category]]&amp;Table2[[#This Row],[Final rank]],"")</f>
        <v/>
      </c>
    </row>
    <row r="150">
      <c r="B150" s="22">
        <f>'Food costs - Input data'!B13</f>
        <v/>
      </c>
      <c r="C150" s="22">
        <f>'Food costs - Input data'!C13</f>
        <v/>
      </c>
      <c r="D150" s="497">
        <f>COUNTA('Food costs - Input data'!D13:AB13)</f>
        <v/>
      </c>
      <c r="E150" s="497">
        <f>_xlfn.MAXIFS(Table2[Availability],Table2[Category],Table2[[#This Row],[Category]])</f>
        <v/>
      </c>
      <c r="F150" s="497">
        <f>Table2[[#This Row],[Availability]] &gt;= 0.25*Table2[[#This Row],[Most availble in category]]</f>
        <v/>
      </c>
      <c r="G150" s="497">
        <f>(Table2[[#This Row],[Protein (g)]] * 4 +Table2[[#This Row],[Fat, total (g)]] * 9 + Table2[[#This Row],[Carbohydrate (g)]] *4 )</f>
        <v/>
      </c>
      <c r="H150" s="45">
        <f>'Nutritional input'!E32</f>
        <v/>
      </c>
      <c r="I150" s="45">
        <f>'Nutritional input'!F32</f>
        <v/>
      </c>
      <c r="J150" s="45">
        <f>'Nutritional input'!G32</f>
        <v/>
      </c>
      <c r="K150" s="45">
        <f>'Nutritional input'!H32</f>
        <v/>
      </c>
      <c r="L150" s="505">
        <f>IFERROR((_xlfn.XLOOKUP(Table2[[#This Row],[Item]],'Food costs - Input data'!C:C,'Food costs - Input data'!AE:AE)/Table2[[#This Row],[Edible portion]]) / (10*Table2[[#This Row],[Energy (kcal) per 100g edible portion]]),0)</f>
        <v/>
      </c>
      <c r="M150" s="45">
        <f t="array" ref="M150">SUMPRODUCT((Table2[Category]=Table2[[#This Row],[Category]])*(Table2[[#This Row],[Price per calorie]]&gt;Table2[Price per calorie]))+1</f>
        <v/>
      </c>
      <c r="N150" s="45">
        <f>IF(Table2[[#This Row],[Widely available?]]=FALSE,1,0)</f>
        <v/>
      </c>
      <c r="O150" s="45">
        <f>SUMIFS(Table2[Count false],Table2[Category],Table2[[#This Row],[Category]],Table2[Caloric content2],"&lt;"&amp;Table2[[#This Row],[Caloric content2]])</f>
        <v/>
      </c>
      <c r="P150" s="73">
        <f>IF(Table2[[#This Row],[Widely available?]]=TRUE,Table2[[#This Row],[Caloric content2]]-Table2[[#This Row],[subtract]],0)</f>
        <v/>
      </c>
      <c r="Q150" s="22">
        <f>IF(Table2[[#This Row],[Final rank]]&gt;0,Table2[[#This Row],[Category]]&amp;Table2[[#This Row],[Final rank]],"")</f>
        <v/>
      </c>
    </row>
    <row r="151">
      <c r="B151" s="22">
        <f>'Food costs - Input data'!B14</f>
        <v/>
      </c>
      <c r="C151" s="22">
        <f>'Food costs - Input data'!C14</f>
        <v/>
      </c>
      <c r="D151" s="497">
        <f>COUNTA('Food costs - Input data'!D14:AB14)</f>
        <v/>
      </c>
      <c r="E151" s="497">
        <f>_xlfn.MAXIFS(Table2[Availability],Table2[Category],Table2[[#This Row],[Category]])</f>
        <v/>
      </c>
      <c r="F151" s="497">
        <f>Table2[[#This Row],[Availability]] &gt;= 0.25*Table2[[#This Row],[Most availble in category]]</f>
        <v/>
      </c>
      <c r="G151" s="497">
        <f>(Table2[[#This Row],[Protein (g)]] * 4 +Table2[[#This Row],[Fat, total (g)]] * 9 + Table2[[#This Row],[Carbohydrate (g)]] *4 )</f>
        <v/>
      </c>
      <c r="H151" s="45">
        <f>'Nutritional input'!E33</f>
        <v/>
      </c>
      <c r="I151" s="45">
        <f>'Nutritional input'!F33</f>
        <v/>
      </c>
      <c r="J151" s="45">
        <f>'Nutritional input'!G33</f>
        <v/>
      </c>
      <c r="K151" s="45">
        <f>'Nutritional input'!H33</f>
        <v/>
      </c>
      <c r="L151" s="505">
        <f>IFERROR((_xlfn.XLOOKUP(Table2[[#This Row],[Item]],'Food costs - Input data'!C:C,'Food costs - Input data'!AE:AE)/Table2[[#This Row],[Edible portion]]) / (10*Table2[[#This Row],[Energy (kcal) per 100g edible portion]]),0)</f>
        <v/>
      </c>
      <c r="M151" s="45">
        <f t="array" ref="M151">SUMPRODUCT((Table2[Category]=Table2[[#This Row],[Category]])*(Table2[[#This Row],[Price per calorie]]&gt;Table2[Price per calorie]))+1</f>
        <v/>
      </c>
      <c r="N151" s="45">
        <f>IF(Table2[[#This Row],[Widely available?]]=FALSE,1,0)</f>
        <v/>
      </c>
      <c r="O151" s="45">
        <f>SUMIFS(Table2[Count false],Table2[Category],Table2[[#This Row],[Category]],Table2[Caloric content2],"&lt;"&amp;Table2[[#This Row],[Caloric content2]])</f>
        <v/>
      </c>
      <c r="P151" s="73">
        <f>IF(Table2[[#This Row],[Widely available?]]=TRUE,Table2[[#This Row],[Caloric content2]]-Table2[[#This Row],[subtract]],0)</f>
        <v/>
      </c>
      <c r="Q151" s="22">
        <f>IF(Table2[[#This Row],[Final rank]]&gt;0,Table2[[#This Row],[Category]]&amp;Table2[[#This Row],[Final rank]],"")</f>
        <v/>
      </c>
    </row>
    <row r="152">
      <c r="B152" s="22">
        <f>'Food costs - Input data'!B15</f>
        <v/>
      </c>
      <c r="C152" s="22">
        <f>'Food costs - Input data'!C15</f>
        <v/>
      </c>
      <c r="D152" s="497">
        <f>COUNTA('Food costs - Input data'!D15:AB15)</f>
        <v/>
      </c>
      <c r="E152" s="497">
        <f>_xlfn.MAXIFS(Table2[Availability],Table2[Category],Table2[[#This Row],[Category]])</f>
        <v/>
      </c>
      <c r="F152" s="497">
        <f>Table2[[#This Row],[Availability]] &gt;= 0.25*Table2[[#This Row],[Most availble in category]]</f>
        <v/>
      </c>
      <c r="G152" s="497">
        <f>(Table2[[#This Row],[Protein (g)]] * 4 +Table2[[#This Row],[Fat, total (g)]] * 9 + Table2[[#This Row],[Carbohydrate (g)]] *4 )</f>
        <v/>
      </c>
      <c r="H152" s="45">
        <f>'Nutritional input'!E34</f>
        <v/>
      </c>
      <c r="I152" s="45">
        <f>'Nutritional input'!F34</f>
        <v/>
      </c>
      <c r="J152" s="45">
        <f>'Nutritional input'!G34</f>
        <v/>
      </c>
      <c r="K152" s="45">
        <f>'Nutritional input'!H34</f>
        <v/>
      </c>
      <c r="L152" s="505">
        <f>IFERROR((_xlfn.XLOOKUP(Table2[[#This Row],[Item]],'Food costs - Input data'!C:C,'Food costs - Input data'!AE:AE)/Table2[[#This Row],[Edible portion]]) / (10*Table2[[#This Row],[Energy (kcal) per 100g edible portion]]),0)</f>
        <v/>
      </c>
      <c r="M152" s="45">
        <f t="array" ref="M152">SUMPRODUCT((Table2[Category]=Table2[[#This Row],[Category]])*(Table2[[#This Row],[Price per calorie]]&gt;Table2[Price per calorie]))+1</f>
        <v/>
      </c>
      <c r="N152" s="45">
        <f>IF(Table2[[#This Row],[Widely available?]]=FALSE,1,0)</f>
        <v/>
      </c>
      <c r="O152" s="45">
        <f>SUMIFS(Table2[Count false],Table2[Category],Table2[[#This Row],[Category]],Table2[Caloric content2],"&lt;"&amp;Table2[[#This Row],[Caloric content2]])</f>
        <v/>
      </c>
      <c r="P152" s="73">
        <f>IF(Table2[[#This Row],[Widely available?]]=TRUE,Table2[[#This Row],[Caloric content2]]-Table2[[#This Row],[subtract]],0)</f>
        <v/>
      </c>
      <c r="Q152" s="22">
        <f>IF(Table2[[#This Row],[Final rank]]&gt;0,Table2[[#This Row],[Category]]&amp;Table2[[#This Row],[Final rank]],"")</f>
        <v/>
      </c>
    </row>
    <row r="153">
      <c r="B153" s="22">
        <f>'Food costs - Input data'!B16</f>
        <v/>
      </c>
      <c r="C153" s="22">
        <f>'Food costs - Input data'!C16</f>
        <v/>
      </c>
      <c r="D153" s="497">
        <f>COUNTA('Food costs - Input data'!D16:AB16)</f>
        <v/>
      </c>
      <c r="E153" s="497">
        <f>_xlfn.MAXIFS(Table2[Availability],Table2[Category],Table2[[#This Row],[Category]])</f>
        <v/>
      </c>
      <c r="F153" s="497">
        <f>Table2[[#This Row],[Availability]] &gt;= 0.25*Table2[[#This Row],[Most availble in category]]</f>
        <v/>
      </c>
      <c r="G153" s="497">
        <f>(Table2[[#This Row],[Protein (g)]] * 4 +Table2[[#This Row],[Fat, total (g)]] * 9 + Table2[[#This Row],[Carbohydrate (g)]] *4 )</f>
        <v/>
      </c>
      <c r="H153" s="45">
        <f>'Nutritional input'!E35</f>
        <v/>
      </c>
      <c r="I153" s="45">
        <f>'Nutritional input'!F35</f>
        <v/>
      </c>
      <c r="J153" s="45">
        <f>'Nutritional input'!G35</f>
        <v/>
      </c>
      <c r="K153" s="45">
        <f>'Nutritional input'!H35</f>
        <v/>
      </c>
      <c r="L153" s="505">
        <f>IFERROR((_xlfn.XLOOKUP(Table2[[#This Row],[Item]],'Food costs - Input data'!C:C,'Food costs - Input data'!AE:AE)/Table2[[#This Row],[Edible portion]]) / (10*Table2[[#This Row],[Energy (kcal) per 100g edible portion]]),0)</f>
        <v/>
      </c>
      <c r="M153" s="45">
        <f t="array" ref="M153">SUMPRODUCT((Table2[Category]=Table2[[#This Row],[Category]])*(Table2[[#This Row],[Price per calorie]]&gt;Table2[Price per calorie]))+1</f>
        <v/>
      </c>
      <c r="N153" s="45">
        <f>IF(Table2[[#This Row],[Widely available?]]=FALSE,1,0)</f>
        <v/>
      </c>
      <c r="O153" s="45">
        <f>SUMIFS(Table2[Count false],Table2[Category],Table2[[#This Row],[Category]],Table2[Caloric content2],"&lt;"&amp;Table2[[#This Row],[Caloric content2]])</f>
        <v/>
      </c>
      <c r="P153" s="73">
        <f>IF(Table2[[#This Row],[Widely available?]]=TRUE,Table2[[#This Row],[Caloric content2]]-Table2[[#This Row],[subtract]],0)</f>
        <v/>
      </c>
      <c r="Q153" s="22">
        <f>IF(Table2[[#This Row],[Final rank]]&gt;0,Table2[[#This Row],[Category]]&amp;Table2[[#This Row],[Final rank]],"")</f>
        <v/>
      </c>
    </row>
    <row r="154">
      <c r="B154" s="22">
        <f>'Food costs - Input data'!B17</f>
        <v/>
      </c>
      <c r="C154" s="22">
        <f>'Food costs - Input data'!C17</f>
        <v/>
      </c>
      <c r="D154" s="497">
        <f>COUNTA('Food costs - Input data'!D17:AB17)</f>
        <v/>
      </c>
      <c r="E154" s="497">
        <f>_xlfn.MAXIFS(Table2[Availability],Table2[Category],Table2[[#This Row],[Category]])</f>
        <v/>
      </c>
      <c r="F154" s="497">
        <f>Table2[[#This Row],[Availability]] &gt;= 0.25*Table2[[#This Row],[Most availble in category]]</f>
        <v/>
      </c>
      <c r="G154" s="497">
        <f>(Table2[[#This Row],[Protein (g)]] * 4 +Table2[[#This Row],[Fat, total (g)]] * 9 + Table2[[#This Row],[Carbohydrate (g)]] *4 )</f>
        <v/>
      </c>
      <c r="H154" s="45">
        <f>'Nutritional input'!E36</f>
        <v/>
      </c>
      <c r="I154" s="45">
        <f>'Nutritional input'!F36</f>
        <v/>
      </c>
      <c r="J154" s="45">
        <f>'Nutritional input'!G36</f>
        <v/>
      </c>
      <c r="K154" s="45">
        <f>'Nutritional input'!H36</f>
        <v/>
      </c>
      <c r="L154" s="505">
        <f>IFERROR((_xlfn.XLOOKUP(Table2[[#This Row],[Item]],'Food costs - Input data'!C:C,'Food costs - Input data'!AE:AE)/Table2[[#This Row],[Edible portion]]) / (10*Table2[[#This Row],[Energy (kcal) per 100g edible portion]]),0)</f>
        <v/>
      </c>
      <c r="M154" s="45">
        <f t="array" ref="M154">SUMPRODUCT((Table2[Category]=Table2[[#This Row],[Category]])*(Table2[[#This Row],[Price per calorie]]&gt;Table2[Price per calorie]))+1</f>
        <v/>
      </c>
      <c r="N154" s="45">
        <f>IF(Table2[[#This Row],[Widely available?]]=FALSE,1,0)</f>
        <v/>
      </c>
      <c r="O154" s="45">
        <f>SUMIFS(Table2[Count false],Table2[Category],Table2[[#This Row],[Category]],Table2[Caloric content2],"&lt;"&amp;Table2[[#This Row],[Caloric content2]])</f>
        <v/>
      </c>
      <c r="P154" s="73">
        <f>IF(Table2[[#This Row],[Widely available?]]=TRUE,Table2[[#This Row],[Caloric content2]]-Table2[[#This Row],[subtract]],0)</f>
        <v/>
      </c>
      <c r="Q154" s="22">
        <f>IF(Table2[[#This Row],[Final rank]]&gt;0,Table2[[#This Row],[Category]]&amp;Table2[[#This Row],[Final rank]],"")</f>
        <v/>
      </c>
    </row>
    <row r="155">
      <c r="B155" s="22">
        <f>'Food costs - Input data'!B18</f>
        <v/>
      </c>
      <c r="C155" s="22">
        <f>'Food costs - Input data'!C18</f>
        <v/>
      </c>
      <c r="D155" s="497">
        <f>COUNTA('Food costs - Input data'!D18:AB18)</f>
        <v/>
      </c>
      <c r="E155" s="497">
        <f>_xlfn.MAXIFS(Table2[Availability],Table2[Category],Table2[[#This Row],[Category]])</f>
        <v/>
      </c>
      <c r="F155" s="497">
        <f>Table2[[#This Row],[Availability]] &gt;= 0.25*Table2[[#This Row],[Most availble in category]]</f>
        <v/>
      </c>
      <c r="G155" s="497">
        <f>(Table2[[#This Row],[Protein (g)]] * 4 +Table2[[#This Row],[Fat, total (g)]] * 9 + Table2[[#This Row],[Carbohydrate (g)]] *4 )</f>
        <v/>
      </c>
      <c r="H155" s="45">
        <f>'Nutritional input'!E37</f>
        <v/>
      </c>
      <c r="I155" s="45">
        <f>'Nutritional input'!F37</f>
        <v/>
      </c>
      <c r="J155" s="45">
        <f>'Nutritional input'!G37</f>
        <v/>
      </c>
      <c r="K155" s="45">
        <f>'Nutritional input'!H37</f>
        <v/>
      </c>
      <c r="L155" s="505">
        <f>IFERROR((_xlfn.XLOOKUP(Table2[[#This Row],[Item]],'Food costs - Input data'!C:C,'Food costs - Input data'!AE:AE)/Table2[[#This Row],[Edible portion]]) / (10*Table2[[#This Row],[Energy (kcal) per 100g edible portion]]),0)</f>
        <v/>
      </c>
      <c r="M155" s="45">
        <f t="array" ref="M155">SUMPRODUCT((Table2[Category]=Table2[[#This Row],[Category]])*(Table2[[#This Row],[Price per calorie]]&gt;Table2[Price per calorie]))+1</f>
        <v/>
      </c>
      <c r="N155" s="45">
        <f>IF(Table2[[#This Row],[Widely available?]]=FALSE,1,0)</f>
        <v/>
      </c>
      <c r="O155" s="45">
        <f>SUMIFS(Table2[Count false],Table2[Category],Table2[[#This Row],[Category]],Table2[Caloric content2],"&lt;"&amp;Table2[[#This Row],[Caloric content2]])</f>
        <v/>
      </c>
      <c r="P155" s="73">
        <f>IF(Table2[[#This Row],[Widely available?]]=TRUE,Table2[[#This Row],[Caloric content2]]-Table2[[#This Row],[subtract]],0)</f>
        <v/>
      </c>
      <c r="Q155" s="22">
        <f>IF(Table2[[#This Row],[Final rank]]&gt;0,Table2[[#This Row],[Category]]&amp;Table2[[#This Row],[Final rank]],"")</f>
        <v/>
      </c>
    </row>
    <row r="156">
      <c r="B156" s="22">
        <f>'Food costs - Input data'!B19</f>
        <v/>
      </c>
      <c r="C156" s="22">
        <f>'Food costs - Input data'!C19</f>
        <v/>
      </c>
      <c r="D156" s="497">
        <f>COUNTA('Food costs - Input data'!D19:AB19)</f>
        <v/>
      </c>
      <c r="E156" s="497">
        <f>_xlfn.MAXIFS(Table2[Availability],Table2[Category],Table2[[#This Row],[Category]])</f>
        <v/>
      </c>
      <c r="F156" s="497">
        <f>Table2[[#This Row],[Availability]] &gt;= 0.25*Table2[[#This Row],[Most availble in category]]</f>
        <v/>
      </c>
      <c r="G156" s="497">
        <f>(Table2[[#This Row],[Protein (g)]] * 4 +Table2[[#This Row],[Fat, total (g)]] * 9 + Table2[[#This Row],[Carbohydrate (g)]] *4 )</f>
        <v/>
      </c>
      <c r="H156" s="45">
        <f>'Nutritional input'!E38</f>
        <v/>
      </c>
      <c r="I156" s="45">
        <f>'Nutritional input'!F38</f>
        <v/>
      </c>
      <c r="J156" s="45">
        <f>'Nutritional input'!G38</f>
        <v/>
      </c>
      <c r="K156" s="45">
        <f>'Nutritional input'!H38</f>
        <v/>
      </c>
      <c r="L156" s="505">
        <f>IFERROR((_xlfn.XLOOKUP(Table2[[#This Row],[Item]],'Food costs - Input data'!C:C,'Food costs - Input data'!AE:AE)/Table2[[#This Row],[Edible portion]]) / (10*Table2[[#This Row],[Energy (kcal) per 100g edible portion]]),0)</f>
        <v/>
      </c>
      <c r="M156" s="45">
        <f t="array" ref="M156">SUMPRODUCT((Table2[Category]=Table2[[#This Row],[Category]])*(Table2[[#This Row],[Price per calorie]]&gt;Table2[Price per calorie]))+1</f>
        <v/>
      </c>
      <c r="N156" s="45">
        <f>IF(Table2[[#This Row],[Widely available?]]=FALSE,1,0)</f>
        <v/>
      </c>
      <c r="O156" s="45">
        <f>SUMIFS(Table2[Count false],Table2[Category],Table2[[#This Row],[Category]],Table2[Caloric content2],"&lt;"&amp;Table2[[#This Row],[Caloric content2]])</f>
        <v/>
      </c>
      <c r="P156" s="73">
        <f>IF(Table2[[#This Row],[Widely available?]]=TRUE,Table2[[#This Row],[Caloric content2]]-Table2[[#This Row],[subtract]],0)</f>
        <v/>
      </c>
      <c r="Q156" s="22">
        <f>IF(Table2[[#This Row],[Final rank]]&gt;0,Table2[[#This Row],[Category]]&amp;Table2[[#This Row],[Final rank]],"")</f>
        <v/>
      </c>
    </row>
    <row r="157">
      <c r="B157" s="22">
        <f>'Food costs - Input data'!B20</f>
        <v/>
      </c>
      <c r="C157" s="22">
        <f>'Food costs - Input data'!C20</f>
        <v/>
      </c>
      <c r="D157" s="497">
        <f>COUNTA('Food costs - Input data'!D20:AB20)</f>
        <v/>
      </c>
      <c r="E157" s="497">
        <f>_xlfn.MAXIFS(Table2[Availability],Table2[Category],Table2[[#This Row],[Category]])</f>
        <v/>
      </c>
      <c r="F157" s="497">
        <f>Table2[[#This Row],[Availability]] &gt;= 0.25*Table2[[#This Row],[Most availble in category]]</f>
        <v/>
      </c>
      <c r="G157" s="497">
        <f>(Table2[[#This Row],[Protein (g)]] * 4 +Table2[[#This Row],[Fat, total (g)]] * 9 + Table2[[#This Row],[Carbohydrate (g)]] *4 )</f>
        <v/>
      </c>
      <c r="H157" s="45">
        <f>'Nutritional input'!E39</f>
        <v/>
      </c>
      <c r="I157" s="45">
        <f>'Nutritional input'!F39</f>
        <v/>
      </c>
      <c r="J157" s="45">
        <f>'Nutritional input'!G39</f>
        <v/>
      </c>
      <c r="K157" s="45">
        <f>'Nutritional input'!H39</f>
        <v/>
      </c>
      <c r="L157" s="505">
        <f>IFERROR((_xlfn.XLOOKUP(Table2[[#This Row],[Item]],'Food costs - Input data'!C:C,'Food costs - Input data'!AE:AE)/Table2[[#This Row],[Edible portion]]) / (10*Table2[[#This Row],[Energy (kcal) per 100g edible portion]]),0)</f>
        <v/>
      </c>
      <c r="M157" s="45">
        <f t="array" ref="M157">SUMPRODUCT((Table2[Category]=Table2[[#This Row],[Category]])*(Table2[[#This Row],[Price per calorie]]&gt;Table2[Price per calorie]))+1</f>
        <v/>
      </c>
      <c r="N157" s="45">
        <f>IF(Table2[[#This Row],[Widely available?]]=FALSE,1,0)</f>
        <v/>
      </c>
      <c r="O157" s="45">
        <f>SUMIFS(Table2[Count false],Table2[Category],Table2[[#This Row],[Category]],Table2[Caloric content2],"&lt;"&amp;Table2[[#This Row],[Caloric content2]])</f>
        <v/>
      </c>
      <c r="P157" s="73">
        <f>IF(Table2[[#This Row],[Widely available?]]=TRUE,Table2[[#This Row],[Caloric content2]]-Table2[[#This Row],[subtract]],0)</f>
        <v/>
      </c>
      <c r="Q157" s="22">
        <f>IF(Table2[[#This Row],[Final rank]]&gt;0,Table2[[#This Row],[Category]]&amp;Table2[[#This Row],[Final rank]],"")</f>
        <v/>
      </c>
    </row>
    <row r="158">
      <c r="B158" s="22">
        <f>'Food costs - Input data'!B21</f>
        <v/>
      </c>
      <c r="C158" s="22">
        <f>'Food costs - Input data'!C21</f>
        <v/>
      </c>
      <c r="D158" s="497">
        <f>COUNTA('Food costs - Input data'!D21:AB21)</f>
        <v/>
      </c>
      <c r="E158" s="497">
        <f>_xlfn.MAXIFS(Table2[Availability],Table2[Category],Table2[[#This Row],[Category]])</f>
        <v/>
      </c>
      <c r="F158" s="497">
        <f>Table2[[#This Row],[Availability]] &gt;= 0.25*Table2[[#This Row],[Most availble in category]]</f>
        <v/>
      </c>
      <c r="G158" s="497">
        <f>(Table2[[#This Row],[Protein (g)]] * 4 +Table2[[#This Row],[Fat, total (g)]] * 9 + Table2[[#This Row],[Carbohydrate (g)]] *4 )</f>
        <v/>
      </c>
      <c r="H158" s="45">
        <f>'Nutritional input'!E40</f>
        <v/>
      </c>
      <c r="I158" s="45">
        <f>'Nutritional input'!F40</f>
        <v/>
      </c>
      <c r="J158" s="45">
        <f>'Nutritional input'!G40</f>
        <v/>
      </c>
      <c r="K158" s="45">
        <f>'Nutritional input'!H40</f>
        <v/>
      </c>
      <c r="L158" s="505">
        <f>IFERROR((_xlfn.XLOOKUP(Table2[[#This Row],[Item]],'Food costs - Input data'!C:C,'Food costs - Input data'!AE:AE)/Table2[[#This Row],[Edible portion]]) / (10*Table2[[#This Row],[Energy (kcal) per 100g edible portion]]),0)</f>
        <v/>
      </c>
      <c r="M158" s="45">
        <f t="array" ref="M158">SUMPRODUCT((Table2[Category]=Table2[[#This Row],[Category]])*(Table2[[#This Row],[Price per calorie]]&gt;Table2[Price per calorie]))+1</f>
        <v/>
      </c>
      <c r="N158" s="45">
        <f>IF(Table2[[#This Row],[Widely available?]]=FALSE,1,0)</f>
        <v/>
      </c>
      <c r="O158" s="45">
        <f>SUMIFS(Table2[Count false],Table2[Category],Table2[[#This Row],[Category]],Table2[Caloric content2],"&lt;"&amp;Table2[[#This Row],[Caloric content2]])</f>
        <v/>
      </c>
      <c r="P158" s="73">
        <f>IF(Table2[[#This Row],[Widely available?]]=TRUE,Table2[[#This Row],[Caloric content2]]-Table2[[#This Row],[subtract]],0)</f>
        <v/>
      </c>
      <c r="Q158" s="22">
        <f>IF(Table2[[#This Row],[Final rank]]&gt;0,Table2[[#This Row],[Category]]&amp;Table2[[#This Row],[Final rank]],"")</f>
        <v/>
      </c>
    </row>
    <row r="159">
      <c r="B159" s="22">
        <f>'Food costs - Input data'!B22</f>
        <v/>
      </c>
      <c r="C159" s="22">
        <f>'Food costs - Input data'!C22</f>
        <v/>
      </c>
      <c r="D159" s="497">
        <f>COUNTA('Food costs - Input data'!D22:AB22)</f>
        <v/>
      </c>
      <c r="E159" s="497">
        <f>_xlfn.MAXIFS(Table2[Availability],Table2[Category],Table2[[#This Row],[Category]])</f>
        <v/>
      </c>
      <c r="F159" s="497">
        <f>Table2[[#This Row],[Availability]] &gt;= 0.25*Table2[[#This Row],[Most availble in category]]</f>
        <v/>
      </c>
      <c r="G159" s="497">
        <f>(Table2[[#This Row],[Protein (g)]] * 4 +Table2[[#This Row],[Fat, total (g)]] * 9 + Table2[[#This Row],[Carbohydrate (g)]] *4 )</f>
        <v/>
      </c>
      <c r="H159" s="45">
        <f>'Nutritional input'!E41</f>
        <v/>
      </c>
      <c r="I159" s="45">
        <f>'Nutritional input'!F41</f>
        <v/>
      </c>
      <c r="J159" s="45">
        <f>'Nutritional input'!G41</f>
        <v/>
      </c>
      <c r="K159" s="45">
        <f>'Nutritional input'!H41</f>
        <v/>
      </c>
      <c r="L159" s="505">
        <f>IFERROR((_xlfn.XLOOKUP(Table2[[#This Row],[Item]],'Food costs - Input data'!C:C,'Food costs - Input data'!AE:AE)/Table2[[#This Row],[Edible portion]]) / (10*Table2[[#This Row],[Energy (kcal) per 100g edible portion]]),0)</f>
        <v/>
      </c>
      <c r="M159" s="45">
        <f t="array" ref="M159">SUMPRODUCT((Table2[Category]=Table2[[#This Row],[Category]])*(Table2[[#This Row],[Price per calorie]]&gt;Table2[Price per calorie]))+1</f>
        <v/>
      </c>
      <c r="N159" s="45">
        <f>IF(Table2[[#This Row],[Widely available?]]=FALSE,1,0)</f>
        <v/>
      </c>
      <c r="O159" s="45">
        <f>SUMIFS(Table2[Count false],Table2[Category],Table2[[#This Row],[Category]],Table2[Caloric content2],"&lt;"&amp;Table2[[#This Row],[Caloric content2]])</f>
        <v/>
      </c>
      <c r="P159" s="73">
        <f>IF(Table2[[#This Row],[Widely available?]]=TRUE,Table2[[#This Row],[Caloric content2]]-Table2[[#This Row],[subtract]],0)</f>
        <v/>
      </c>
      <c r="Q159" s="22">
        <f>IF(Table2[[#This Row],[Final rank]]&gt;0,Table2[[#This Row],[Category]]&amp;Table2[[#This Row],[Final rank]],"")</f>
        <v/>
      </c>
    </row>
    <row r="160">
      <c r="B160" s="22">
        <f>'Food costs - Input data'!B23</f>
        <v/>
      </c>
      <c r="C160" s="22">
        <f>'Food costs - Input data'!C23</f>
        <v/>
      </c>
      <c r="D160" s="497">
        <f>COUNTA('Food costs - Input data'!D23:AB23)</f>
        <v/>
      </c>
      <c r="E160" s="497">
        <f>_xlfn.MAXIFS(Table2[Availability],Table2[Category],Table2[[#This Row],[Category]])</f>
        <v/>
      </c>
      <c r="F160" s="497">
        <f>Table2[[#This Row],[Availability]] &gt;= 0.25*Table2[[#This Row],[Most availble in category]]</f>
        <v/>
      </c>
      <c r="G160" s="497">
        <f>(Table2[[#This Row],[Protein (g)]] * 4 +Table2[[#This Row],[Fat, total (g)]] * 9 + Table2[[#This Row],[Carbohydrate (g)]] *4 )</f>
        <v/>
      </c>
      <c r="H160" s="45">
        <f>'Nutritional input'!E42</f>
        <v/>
      </c>
      <c r="I160" s="45">
        <f>'Nutritional input'!F42</f>
        <v/>
      </c>
      <c r="J160" s="45">
        <f>'Nutritional input'!G42</f>
        <v/>
      </c>
      <c r="K160" s="45">
        <f>'Nutritional input'!H42</f>
        <v/>
      </c>
      <c r="L160" s="505">
        <f>IFERROR((_xlfn.XLOOKUP(Table2[[#This Row],[Item]],'Food costs - Input data'!C:C,'Food costs - Input data'!AE:AE)/Table2[[#This Row],[Edible portion]]) / (10*Table2[[#This Row],[Energy (kcal) per 100g edible portion]]),0)</f>
        <v/>
      </c>
      <c r="M160" s="45">
        <f t="array" ref="M160">SUMPRODUCT((Table2[Category]=Table2[[#This Row],[Category]])*(Table2[[#This Row],[Price per calorie]]&gt;Table2[Price per calorie]))+1</f>
        <v/>
      </c>
      <c r="N160" s="45">
        <f>IF(Table2[[#This Row],[Widely available?]]=FALSE,1,0)</f>
        <v/>
      </c>
      <c r="O160" s="45">
        <f>SUMIFS(Table2[Count false],Table2[Category],Table2[[#This Row],[Category]],Table2[Caloric content2],"&lt;"&amp;Table2[[#This Row],[Caloric content2]])</f>
        <v/>
      </c>
      <c r="P160" s="73">
        <f>IF(Table2[[#This Row],[Widely available?]]=TRUE,Table2[[#This Row],[Caloric content2]]-Table2[[#This Row],[subtract]],0)</f>
        <v/>
      </c>
      <c r="Q160" s="22">
        <f>IF(Table2[[#This Row],[Final rank]]&gt;0,Table2[[#This Row],[Category]]&amp;Table2[[#This Row],[Final rank]],"")</f>
        <v/>
      </c>
    </row>
    <row r="161">
      <c r="B161" s="22">
        <f>'Food costs - Input data'!B24</f>
        <v/>
      </c>
      <c r="C161" s="22">
        <f>'Food costs - Input data'!C24</f>
        <v/>
      </c>
      <c r="D161" s="497">
        <f>COUNTA('Food costs - Input data'!D24:AB24)</f>
        <v/>
      </c>
      <c r="E161" s="497">
        <f>_xlfn.MAXIFS(Table2[Availability],Table2[Category],Table2[[#This Row],[Category]])</f>
        <v/>
      </c>
      <c r="F161" s="497">
        <f>Table2[[#This Row],[Availability]] &gt;= 0.25*Table2[[#This Row],[Most availble in category]]</f>
        <v/>
      </c>
      <c r="G161" s="497">
        <f>(Table2[[#This Row],[Protein (g)]] * 4 +Table2[[#This Row],[Fat, total (g)]] * 9 + Table2[[#This Row],[Carbohydrate (g)]] *4 )</f>
        <v/>
      </c>
      <c r="H161" s="45">
        <f>'Nutritional input'!E43</f>
        <v/>
      </c>
      <c r="I161" s="45">
        <f>'Nutritional input'!F43</f>
        <v/>
      </c>
      <c r="J161" s="45">
        <f>'Nutritional input'!G43</f>
        <v/>
      </c>
      <c r="K161" s="45">
        <f>'Nutritional input'!H43</f>
        <v/>
      </c>
      <c r="L161" s="505">
        <f>IFERROR((_xlfn.XLOOKUP(Table2[[#This Row],[Item]],'Food costs - Input data'!C:C,'Food costs - Input data'!AE:AE)/Table2[[#This Row],[Edible portion]]) / (10*Table2[[#This Row],[Energy (kcal) per 100g edible portion]]),0)</f>
        <v/>
      </c>
      <c r="M161" s="45">
        <f t="array" ref="M161">SUMPRODUCT((Table2[Category]=Table2[[#This Row],[Category]])*(Table2[[#This Row],[Price per calorie]]&gt;Table2[Price per calorie]))+1</f>
        <v/>
      </c>
      <c r="N161" s="45">
        <f>IF(Table2[[#This Row],[Widely available?]]=FALSE,1,0)</f>
        <v/>
      </c>
      <c r="O161" s="45">
        <f>SUMIFS(Table2[Count false],Table2[Category],Table2[[#This Row],[Category]],Table2[Caloric content2],"&lt;"&amp;Table2[[#This Row],[Caloric content2]])</f>
        <v/>
      </c>
      <c r="P161" s="73">
        <f>IF(Table2[[#This Row],[Widely available?]]=TRUE,Table2[[#This Row],[Caloric content2]]-Table2[[#This Row],[subtract]],0)</f>
        <v/>
      </c>
      <c r="Q161" s="22">
        <f>IF(Table2[[#This Row],[Final rank]]&gt;0,Table2[[#This Row],[Category]]&amp;Table2[[#This Row],[Final rank]],"")</f>
        <v/>
      </c>
    </row>
    <row r="162">
      <c r="B162" s="22">
        <f>'Food costs - Input data'!B25</f>
        <v/>
      </c>
      <c r="C162" s="22">
        <f>'Food costs - Input data'!C25</f>
        <v/>
      </c>
      <c r="D162" s="497">
        <f>COUNTA('Food costs - Input data'!D25:AB25)</f>
        <v/>
      </c>
      <c r="E162" s="497">
        <f>_xlfn.MAXIFS(Table2[Availability],Table2[Category],Table2[[#This Row],[Category]])</f>
        <v/>
      </c>
      <c r="F162" s="497">
        <f>Table2[[#This Row],[Availability]] &gt;= 0.25*Table2[[#This Row],[Most availble in category]]</f>
        <v/>
      </c>
      <c r="G162" s="497">
        <f>(Table2[[#This Row],[Protein (g)]] * 4 +Table2[[#This Row],[Fat, total (g)]] * 9 + Table2[[#This Row],[Carbohydrate (g)]] *4 )</f>
        <v/>
      </c>
      <c r="H162" s="45">
        <f>'Nutritional input'!E44</f>
        <v/>
      </c>
      <c r="I162" s="45">
        <f>'Nutritional input'!F44</f>
        <v/>
      </c>
      <c r="J162" s="45">
        <f>'Nutritional input'!G44</f>
        <v/>
      </c>
      <c r="K162" s="45">
        <f>'Nutritional input'!H44</f>
        <v/>
      </c>
      <c r="L162" s="505">
        <f>IFERROR((_xlfn.XLOOKUP(Table2[[#This Row],[Item]],'Food costs - Input data'!C:C,'Food costs - Input data'!AE:AE)/Table2[[#This Row],[Edible portion]]) / (10*Table2[[#This Row],[Energy (kcal) per 100g edible portion]]),0)</f>
        <v/>
      </c>
      <c r="M162" s="45">
        <f t="array" ref="M162">SUMPRODUCT((Table2[Category]=Table2[[#This Row],[Category]])*(Table2[[#This Row],[Price per calorie]]&gt;Table2[Price per calorie]))+1</f>
        <v/>
      </c>
      <c r="N162" s="45">
        <f>IF(Table2[[#This Row],[Widely available?]]=FALSE,1,0)</f>
        <v/>
      </c>
      <c r="O162" s="45">
        <f>SUMIFS(Table2[Count false],Table2[Category],Table2[[#This Row],[Category]],Table2[Caloric content2],"&lt;"&amp;Table2[[#This Row],[Caloric content2]])</f>
        <v/>
      </c>
      <c r="P162" s="73">
        <f>IF(Table2[[#This Row],[Widely available?]]=TRUE,Table2[[#This Row],[Caloric content2]]-Table2[[#This Row],[subtract]],0)</f>
        <v/>
      </c>
      <c r="Q162" s="22">
        <f>IF(Table2[[#This Row],[Final rank]]&gt;0,Table2[[#This Row],[Category]]&amp;Table2[[#This Row],[Final rank]],"")</f>
        <v/>
      </c>
    </row>
    <row r="163">
      <c r="B163" s="22">
        <f>'Food costs - Input data'!B26</f>
        <v/>
      </c>
      <c r="C163" s="22">
        <f>'Food costs - Input data'!C26</f>
        <v/>
      </c>
      <c r="D163" s="497">
        <f>COUNTA('Food costs - Input data'!D26:AB26)</f>
        <v/>
      </c>
      <c r="E163" s="497">
        <f>_xlfn.MAXIFS(Table2[Availability],Table2[Category],Table2[[#This Row],[Category]])</f>
        <v/>
      </c>
      <c r="F163" s="497">
        <f>Table2[[#This Row],[Availability]] &gt;= 0.25*Table2[[#This Row],[Most availble in category]]</f>
        <v/>
      </c>
      <c r="G163" s="497">
        <f>(Table2[[#This Row],[Protein (g)]] * 4 +Table2[[#This Row],[Fat, total (g)]] * 9 + Table2[[#This Row],[Carbohydrate (g)]] *4 )</f>
        <v/>
      </c>
      <c r="H163" s="45">
        <f>'Nutritional input'!E45</f>
        <v/>
      </c>
      <c r="I163" s="45">
        <f>'Nutritional input'!F45</f>
        <v/>
      </c>
      <c r="J163" s="45">
        <f>'Nutritional input'!G45</f>
        <v/>
      </c>
      <c r="K163" s="45">
        <f>'Nutritional input'!H45</f>
        <v/>
      </c>
      <c r="L163" s="505">
        <f>IFERROR((_xlfn.XLOOKUP(Table2[[#This Row],[Item]],'Food costs - Input data'!C:C,'Food costs - Input data'!AE:AE)/Table2[[#This Row],[Edible portion]]) / (10*Table2[[#This Row],[Energy (kcal) per 100g edible portion]]),0)</f>
        <v/>
      </c>
      <c r="M163" s="45">
        <f t="array" ref="M163">SUMPRODUCT((Table2[Category]=Table2[[#This Row],[Category]])*(Table2[[#This Row],[Price per calorie]]&gt;Table2[Price per calorie]))+1</f>
        <v/>
      </c>
      <c r="N163" s="45">
        <f>IF(Table2[[#This Row],[Widely available?]]=FALSE,1,0)</f>
        <v/>
      </c>
      <c r="O163" s="45">
        <f>SUMIFS(Table2[Count false],Table2[Category],Table2[[#This Row],[Category]],Table2[Caloric content2],"&lt;"&amp;Table2[[#This Row],[Caloric content2]])</f>
        <v/>
      </c>
      <c r="P163" s="73">
        <f>IF(Table2[[#This Row],[Widely available?]]=TRUE,Table2[[#This Row],[Caloric content2]]-Table2[[#This Row],[subtract]],0)</f>
        <v/>
      </c>
      <c r="Q163" s="22">
        <f>IF(Table2[[#This Row],[Final rank]]&gt;0,Table2[[#This Row],[Category]]&amp;Table2[[#This Row],[Final rank]],"")</f>
        <v/>
      </c>
    </row>
    <row r="164">
      <c r="B164" s="22">
        <f>'Food costs - Input data'!B27</f>
        <v/>
      </c>
      <c r="C164" s="22">
        <f>'Food costs - Input data'!C27</f>
        <v/>
      </c>
      <c r="D164" s="497">
        <f>COUNTA('Food costs - Input data'!D27:AB27)</f>
        <v/>
      </c>
      <c r="E164" s="497">
        <f>_xlfn.MAXIFS(Table2[Availability],Table2[Category],Table2[[#This Row],[Category]])</f>
        <v/>
      </c>
      <c r="F164" s="497">
        <f>Table2[[#This Row],[Availability]] &gt;= 0.25*Table2[[#This Row],[Most availble in category]]</f>
        <v/>
      </c>
      <c r="G164" s="497">
        <f>(Table2[[#This Row],[Protein (g)]] * 4 +Table2[[#This Row],[Fat, total (g)]] * 9 + Table2[[#This Row],[Carbohydrate (g)]] *4 )</f>
        <v/>
      </c>
      <c r="H164" s="45">
        <f>'Nutritional input'!E46</f>
        <v/>
      </c>
      <c r="I164" s="45">
        <f>'Nutritional input'!F46</f>
        <v/>
      </c>
      <c r="J164" s="45">
        <f>'Nutritional input'!G46</f>
        <v/>
      </c>
      <c r="K164" s="45">
        <f>'Nutritional input'!H46</f>
        <v/>
      </c>
      <c r="L164" s="505">
        <f>IFERROR((_xlfn.XLOOKUP(Table2[[#This Row],[Item]],'Food costs - Input data'!C:C,'Food costs - Input data'!AE:AE)/Table2[[#This Row],[Edible portion]]) / (10*Table2[[#This Row],[Energy (kcal) per 100g edible portion]]),0)</f>
        <v/>
      </c>
      <c r="M164" s="45">
        <f t="array" ref="M164">SUMPRODUCT((Table2[Category]=Table2[[#This Row],[Category]])*(Table2[[#This Row],[Price per calorie]]&gt;Table2[Price per calorie]))+1</f>
        <v/>
      </c>
      <c r="N164" s="45">
        <f>IF(Table2[[#This Row],[Widely available?]]=FALSE,1,0)</f>
        <v/>
      </c>
      <c r="O164" s="45">
        <f>SUMIFS(Table2[Count false],Table2[Category],Table2[[#This Row],[Category]],Table2[Caloric content2],"&lt;"&amp;Table2[[#This Row],[Caloric content2]])</f>
        <v/>
      </c>
      <c r="P164" s="73">
        <f>IF(Table2[[#This Row],[Widely available?]]=TRUE,Table2[[#This Row],[Caloric content2]]-Table2[[#This Row],[subtract]],0)</f>
        <v/>
      </c>
      <c r="Q164" s="22">
        <f>IF(Table2[[#This Row],[Final rank]]&gt;0,Table2[[#This Row],[Category]]&amp;Table2[[#This Row],[Final rank]],"")</f>
        <v/>
      </c>
    </row>
    <row r="165">
      <c r="B165" s="22">
        <f>'Food costs - Input data'!B28</f>
        <v/>
      </c>
      <c r="C165" s="22">
        <f>'Food costs - Input data'!C28</f>
        <v/>
      </c>
      <c r="D165" s="497">
        <f>COUNTA('Food costs - Input data'!D28:AB28)</f>
        <v/>
      </c>
      <c r="E165" s="497">
        <f>_xlfn.MAXIFS(Table2[Availability],Table2[Category],Table2[[#This Row],[Category]])</f>
        <v/>
      </c>
      <c r="F165" s="497">
        <f>Table2[[#This Row],[Availability]] &gt;= 0.25*Table2[[#This Row],[Most availble in category]]</f>
        <v/>
      </c>
      <c r="G165" s="497">
        <f>(Table2[[#This Row],[Protein (g)]] * 4 +Table2[[#This Row],[Fat, total (g)]] * 9 + Table2[[#This Row],[Carbohydrate (g)]] *4 )</f>
        <v/>
      </c>
      <c r="H165" s="45">
        <f>'Nutritional input'!E47</f>
        <v/>
      </c>
      <c r="I165" s="45">
        <f>'Nutritional input'!F47</f>
        <v/>
      </c>
      <c r="J165" s="45">
        <f>'Nutritional input'!G47</f>
        <v/>
      </c>
      <c r="K165" s="45">
        <f>'Nutritional input'!H47</f>
        <v/>
      </c>
      <c r="L165" s="505">
        <f>IFERROR((_xlfn.XLOOKUP(Table2[[#This Row],[Item]],'Food costs - Input data'!C:C,'Food costs - Input data'!AE:AE)/Table2[[#This Row],[Edible portion]]) / (10*Table2[[#This Row],[Energy (kcal) per 100g edible portion]]),0)</f>
        <v/>
      </c>
      <c r="M165" s="45">
        <f t="array" ref="M165">SUMPRODUCT((Table2[Category]=Table2[[#This Row],[Category]])*(Table2[[#This Row],[Price per calorie]]&gt;Table2[Price per calorie]))+1</f>
        <v/>
      </c>
      <c r="N165" s="45">
        <f>IF(Table2[[#This Row],[Widely available?]]=FALSE,1,0)</f>
        <v/>
      </c>
      <c r="O165" s="45">
        <f>SUMIFS(Table2[Count false],Table2[Category],Table2[[#This Row],[Category]],Table2[Caloric content2],"&lt;"&amp;Table2[[#This Row],[Caloric content2]])</f>
        <v/>
      </c>
      <c r="P165" s="73">
        <f>IF(Table2[[#This Row],[Widely available?]]=TRUE,Table2[[#This Row],[Caloric content2]]-Table2[[#This Row],[subtract]],0)</f>
        <v/>
      </c>
      <c r="Q165" s="22">
        <f>IF(Table2[[#This Row],[Final rank]]&gt;0,Table2[[#This Row],[Category]]&amp;Table2[[#This Row],[Final rank]],"")</f>
        <v/>
      </c>
    </row>
    <row r="166">
      <c r="B166" s="22">
        <f>'Food costs - Input data'!B29</f>
        <v/>
      </c>
      <c r="C166" s="22">
        <f>'Food costs - Input data'!C29</f>
        <v/>
      </c>
      <c r="D166" s="497">
        <f>COUNTA('Food costs - Input data'!D29:AB29)</f>
        <v/>
      </c>
      <c r="E166" s="497">
        <f>_xlfn.MAXIFS(Table2[Availability],Table2[Category],Table2[[#This Row],[Category]])</f>
        <v/>
      </c>
      <c r="F166" s="497">
        <f>Table2[[#This Row],[Availability]] &gt;= 0.25*Table2[[#This Row],[Most availble in category]]</f>
        <v/>
      </c>
      <c r="G166" s="497">
        <f>(Table2[[#This Row],[Protein (g)]] * 4 +Table2[[#This Row],[Fat, total (g)]] * 9 + Table2[[#This Row],[Carbohydrate (g)]] *4 )</f>
        <v/>
      </c>
      <c r="H166" s="45">
        <f>'Nutritional input'!E48</f>
        <v/>
      </c>
      <c r="I166" s="45">
        <f>'Nutritional input'!F48</f>
        <v/>
      </c>
      <c r="J166" s="45">
        <f>'Nutritional input'!G48</f>
        <v/>
      </c>
      <c r="K166" s="45">
        <f>'Nutritional input'!H48</f>
        <v/>
      </c>
      <c r="L166" s="505">
        <f>IFERROR((_xlfn.XLOOKUP(Table2[[#This Row],[Item]],'Food costs - Input data'!C:C,'Food costs - Input data'!AE:AE)/Table2[[#This Row],[Edible portion]]) / (10*Table2[[#This Row],[Energy (kcal) per 100g edible portion]]),0)</f>
        <v/>
      </c>
      <c r="M166" s="45">
        <f t="array" ref="M166">SUMPRODUCT((Table2[Category]=Table2[[#This Row],[Category]])*(Table2[[#This Row],[Price per calorie]]&gt;Table2[Price per calorie]))+1</f>
        <v/>
      </c>
      <c r="N166" s="45">
        <f>IF(Table2[[#This Row],[Widely available?]]=FALSE,1,0)</f>
        <v/>
      </c>
      <c r="O166" s="45">
        <f>SUMIFS(Table2[Count false],Table2[Category],Table2[[#This Row],[Category]],Table2[Caloric content2],"&lt;"&amp;Table2[[#This Row],[Caloric content2]])</f>
        <v/>
      </c>
      <c r="P166" s="73">
        <f>IF(Table2[[#This Row],[Widely available?]]=TRUE,Table2[[#This Row],[Caloric content2]]-Table2[[#This Row],[subtract]],0)</f>
        <v/>
      </c>
      <c r="Q166" s="22">
        <f>IF(Table2[[#This Row],[Final rank]]&gt;0,Table2[[#This Row],[Category]]&amp;Table2[[#This Row],[Final rank]],"")</f>
        <v/>
      </c>
    </row>
    <row r="167">
      <c r="B167" s="22">
        <f>'Food costs - Input data'!B30</f>
        <v/>
      </c>
      <c r="C167" s="22">
        <f>'Food costs - Input data'!C30</f>
        <v/>
      </c>
      <c r="D167" s="497">
        <f>COUNTA('Food costs - Input data'!D30:AB30)</f>
        <v/>
      </c>
      <c r="E167" s="497">
        <f>_xlfn.MAXIFS(Table2[Availability],Table2[Category],Table2[[#This Row],[Category]])</f>
        <v/>
      </c>
      <c r="F167" s="497">
        <f>Table2[[#This Row],[Availability]] &gt;= 0.25*Table2[[#This Row],[Most availble in category]]</f>
        <v/>
      </c>
      <c r="G167" s="497">
        <f>(Table2[[#This Row],[Protein (g)]] * 4 +Table2[[#This Row],[Fat, total (g)]] * 9 + Table2[[#This Row],[Carbohydrate (g)]] *4 )</f>
        <v/>
      </c>
      <c r="H167" s="45">
        <f>'Nutritional input'!E49</f>
        <v/>
      </c>
      <c r="I167" s="45">
        <f>'Nutritional input'!F49</f>
        <v/>
      </c>
      <c r="J167" s="45">
        <f>'Nutritional input'!G49</f>
        <v/>
      </c>
      <c r="K167" s="45">
        <f>'Nutritional input'!H49</f>
        <v/>
      </c>
      <c r="L167" s="505">
        <f>IFERROR((_xlfn.XLOOKUP(Table2[[#This Row],[Item]],'Food costs - Input data'!C:C,'Food costs - Input data'!AE:AE)/Table2[[#This Row],[Edible portion]]) / (10*Table2[[#This Row],[Energy (kcal) per 100g edible portion]]),0)</f>
        <v/>
      </c>
      <c r="M167" s="45">
        <f t="array" ref="M167">SUMPRODUCT((Table2[Category]=Table2[[#This Row],[Category]])*(Table2[[#This Row],[Price per calorie]]&gt;Table2[Price per calorie]))+1</f>
        <v/>
      </c>
      <c r="N167" s="45">
        <f>IF(Table2[[#This Row],[Widely available?]]=FALSE,1,0)</f>
        <v/>
      </c>
      <c r="O167" s="45">
        <f>SUMIFS(Table2[Count false],Table2[Category],Table2[[#This Row],[Category]],Table2[Caloric content2],"&lt;"&amp;Table2[[#This Row],[Caloric content2]])</f>
        <v/>
      </c>
      <c r="P167" s="73">
        <f>IF(Table2[[#This Row],[Widely available?]]=TRUE,Table2[[#This Row],[Caloric content2]]-Table2[[#This Row],[subtract]],0)</f>
        <v/>
      </c>
      <c r="Q167" s="22">
        <f>IF(Table2[[#This Row],[Final rank]]&gt;0,Table2[[#This Row],[Category]]&amp;Table2[[#This Row],[Final rank]],"")</f>
        <v/>
      </c>
    </row>
    <row r="168">
      <c r="B168" s="22">
        <f>'Food costs - Input data'!B31</f>
        <v/>
      </c>
      <c r="C168" s="22">
        <f>'Food costs - Input data'!C31</f>
        <v/>
      </c>
      <c r="D168" s="497">
        <f>COUNTA('Food costs - Input data'!D31:AB31)</f>
        <v/>
      </c>
      <c r="E168" s="497">
        <f>_xlfn.MAXIFS(Table2[Availability],Table2[Category],Table2[[#This Row],[Category]])</f>
        <v/>
      </c>
      <c r="F168" s="497">
        <f>Table2[[#This Row],[Availability]] &gt;= 0.25*Table2[[#This Row],[Most availble in category]]</f>
        <v/>
      </c>
      <c r="G168" s="497">
        <f>(Table2[[#This Row],[Protein (g)]] * 4 +Table2[[#This Row],[Fat, total (g)]] * 9 + Table2[[#This Row],[Carbohydrate (g)]] *4 )</f>
        <v/>
      </c>
      <c r="H168" s="45">
        <f>'Nutritional input'!E50</f>
        <v/>
      </c>
      <c r="I168" s="45">
        <f>'Nutritional input'!F50</f>
        <v/>
      </c>
      <c r="J168" s="45">
        <f>'Nutritional input'!G50</f>
        <v/>
      </c>
      <c r="K168" s="45">
        <f>'Nutritional input'!H50</f>
        <v/>
      </c>
      <c r="L168" s="505">
        <f>IFERROR((_xlfn.XLOOKUP(Table2[[#This Row],[Item]],'Food costs - Input data'!C:C,'Food costs - Input data'!AE:AE)/Table2[[#This Row],[Edible portion]]) / (10*Table2[[#This Row],[Energy (kcal) per 100g edible portion]]),0)</f>
        <v/>
      </c>
      <c r="M168" s="45">
        <f t="array" ref="M168">SUMPRODUCT((Table2[Category]=Table2[[#This Row],[Category]])*(Table2[[#This Row],[Price per calorie]]&gt;Table2[Price per calorie]))+1</f>
        <v/>
      </c>
      <c r="N168" s="45">
        <f>IF(Table2[[#This Row],[Widely available?]]=FALSE,1,0)</f>
        <v/>
      </c>
      <c r="O168" s="45">
        <f>SUMIFS(Table2[Count false],Table2[Category],Table2[[#This Row],[Category]],Table2[Caloric content2],"&lt;"&amp;Table2[[#This Row],[Caloric content2]])</f>
        <v/>
      </c>
      <c r="P168" s="73">
        <f>IF(Table2[[#This Row],[Widely available?]]=TRUE,Table2[[#This Row],[Caloric content2]]-Table2[[#This Row],[subtract]],0)</f>
        <v/>
      </c>
      <c r="Q168" s="22">
        <f>IF(Table2[[#This Row],[Final rank]]&gt;0,Table2[[#This Row],[Category]]&amp;Table2[[#This Row],[Final rank]],"")</f>
        <v/>
      </c>
    </row>
    <row r="169">
      <c r="B169" s="22">
        <f>'Food costs - Input data'!B32</f>
        <v/>
      </c>
      <c r="C169" s="22">
        <f>'Food costs - Input data'!C32</f>
        <v/>
      </c>
      <c r="D169" s="497">
        <f>COUNTA('Food costs - Input data'!D32:AB32)</f>
        <v/>
      </c>
      <c r="E169" s="497">
        <f>_xlfn.MAXIFS(Table2[Availability],Table2[Category],Table2[[#This Row],[Category]])</f>
        <v/>
      </c>
      <c r="F169" s="497">
        <f>Table2[[#This Row],[Availability]] &gt;= 0.25*Table2[[#This Row],[Most availble in category]]</f>
        <v/>
      </c>
      <c r="G169" s="497">
        <f>(Table2[[#This Row],[Protein (g)]] * 4 +Table2[[#This Row],[Fat, total (g)]] * 9 + Table2[[#This Row],[Carbohydrate (g)]] *4 )</f>
        <v/>
      </c>
      <c r="H169" s="45">
        <f>'Nutritional input'!E51</f>
        <v/>
      </c>
      <c r="I169" s="45">
        <f>'Nutritional input'!F51</f>
        <v/>
      </c>
      <c r="J169" s="45">
        <f>'Nutritional input'!G51</f>
        <v/>
      </c>
      <c r="K169" s="45">
        <f>'Nutritional input'!H51</f>
        <v/>
      </c>
      <c r="L169" s="505">
        <f>IFERROR((_xlfn.XLOOKUP(Table2[[#This Row],[Item]],'Food costs - Input data'!C:C,'Food costs - Input data'!AE:AE)/Table2[[#This Row],[Edible portion]]) / (10*Table2[[#This Row],[Energy (kcal) per 100g edible portion]]),0)</f>
        <v/>
      </c>
      <c r="M169" s="45">
        <f t="array" ref="M169">SUMPRODUCT((Table2[Category]=Table2[[#This Row],[Category]])*(Table2[[#This Row],[Price per calorie]]&gt;Table2[Price per calorie]))+1</f>
        <v/>
      </c>
      <c r="N169" s="45">
        <f>IF(Table2[[#This Row],[Widely available?]]=FALSE,1,0)</f>
        <v/>
      </c>
      <c r="O169" s="45">
        <f>SUMIFS(Table2[Count false],Table2[Category],Table2[[#This Row],[Category]],Table2[Caloric content2],"&lt;"&amp;Table2[[#This Row],[Caloric content2]])</f>
        <v/>
      </c>
      <c r="P169" s="73">
        <f>IF(Table2[[#This Row],[Widely available?]]=TRUE,Table2[[#This Row],[Caloric content2]]-Table2[[#This Row],[subtract]],0)</f>
        <v/>
      </c>
      <c r="Q169" s="22">
        <f>IF(Table2[[#This Row],[Final rank]]&gt;0,Table2[[#This Row],[Category]]&amp;Table2[[#This Row],[Final rank]],"")</f>
        <v/>
      </c>
    </row>
    <row r="170">
      <c r="B170" s="22">
        <f>'Food costs - Input data'!B33</f>
        <v/>
      </c>
      <c r="C170" s="22">
        <f>'Food costs - Input data'!C33</f>
        <v/>
      </c>
      <c r="D170" s="497">
        <f>COUNTA('Food costs - Input data'!D33:AB33)</f>
        <v/>
      </c>
      <c r="E170" s="497">
        <f>_xlfn.MAXIFS(Table2[Availability],Table2[Category],Table2[[#This Row],[Category]])</f>
        <v/>
      </c>
      <c r="F170" s="497">
        <f>Table2[[#This Row],[Availability]] &gt;= 0.25*Table2[[#This Row],[Most availble in category]]</f>
        <v/>
      </c>
      <c r="G170" s="497">
        <f>(Table2[[#This Row],[Protein (g)]] * 4 +Table2[[#This Row],[Fat, total (g)]] * 9 + Table2[[#This Row],[Carbohydrate (g)]] *4 )</f>
        <v/>
      </c>
      <c r="H170" s="45">
        <f>'Nutritional input'!E52</f>
        <v/>
      </c>
      <c r="I170" s="45">
        <f>'Nutritional input'!F52</f>
        <v/>
      </c>
      <c r="J170" s="45">
        <f>'Nutritional input'!G52</f>
        <v/>
      </c>
      <c r="K170" s="45">
        <f>'Nutritional input'!H52</f>
        <v/>
      </c>
      <c r="L170" s="505">
        <f>IFERROR((_xlfn.XLOOKUP(Table2[[#This Row],[Item]],'Food costs - Input data'!C:C,'Food costs - Input data'!AE:AE)/Table2[[#This Row],[Edible portion]]) / (10*Table2[[#This Row],[Energy (kcal) per 100g edible portion]]),0)</f>
        <v/>
      </c>
      <c r="M170" s="45">
        <f t="array" ref="M170">SUMPRODUCT((Table2[Category]=Table2[[#This Row],[Category]])*(Table2[[#This Row],[Price per calorie]]&gt;Table2[Price per calorie]))+1</f>
        <v/>
      </c>
      <c r="N170" s="45">
        <f>IF(Table2[[#This Row],[Widely available?]]=FALSE,1,0)</f>
        <v/>
      </c>
      <c r="O170" s="45">
        <f>SUMIFS(Table2[Count false],Table2[Category],Table2[[#This Row],[Category]],Table2[Caloric content2],"&lt;"&amp;Table2[[#This Row],[Caloric content2]])</f>
        <v/>
      </c>
      <c r="P170" s="73">
        <f>IF(Table2[[#This Row],[Widely available?]]=TRUE,Table2[[#This Row],[Caloric content2]]-Table2[[#This Row],[subtract]],0)</f>
        <v/>
      </c>
      <c r="Q170" s="22">
        <f>IF(Table2[[#This Row],[Final rank]]&gt;0,Table2[[#This Row],[Category]]&amp;Table2[[#This Row],[Final rank]],"")</f>
        <v/>
      </c>
    </row>
    <row r="171">
      <c r="B171" s="22">
        <f>'Food costs - Input data'!B34</f>
        <v/>
      </c>
      <c r="C171" s="22">
        <f>'Food costs - Input data'!C34</f>
        <v/>
      </c>
      <c r="D171" s="497">
        <f>COUNTA('Food costs - Input data'!D34:AB34)</f>
        <v/>
      </c>
      <c r="E171" s="497">
        <f>_xlfn.MAXIFS(Table2[Availability],Table2[Category],Table2[[#This Row],[Category]])</f>
        <v/>
      </c>
      <c r="F171" s="497">
        <f>Table2[[#This Row],[Availability]] &gt;= 0.25*Table2[[#This Row],[Most availble in category]]</f>
        <v/>
      </c>
      <c r="G171" s="497">
        <f>(Table2[[#This Row],[Protein (g)]] * 4 +Table2[[#This Row],[Fat, total (g)]] * 9 + Table2[[#This Row],[Carbohydrate (g)]] *4 )</f>
        <v/>
      </c>
      <c r="H171" s="45">
        <f>'Nutritional input'!E53</f>
        <v/>
      </c>
      <c r="I171" s="45">
        <f>'Nutritional input'!F53</f>
        <v/>
      </c>
      <c r="J171" s="45">
        <f>'Nutritional input'!G53</f>
        <v/>
      </c>
      <c r="K171" s="45">
        <f>'Nutritional input'!H53</f>
        <v/>
      </c>
      <c r="L171" s="505">
        <f>IFERROR((_xlfn.XLOOKUP(Table2[[#This Row],[Item]],'Food costs - Input data'!C:C,'Food costs - Input data'!AE:AE)/Table2[[#This Row],[Edible portion]]) / (10*Table2[[#This Row],[Energy (kcal) per 100g edible portion]]),0)</f>
        <v/>
      </c>
      <c r="M171" s="45">
        <f t="array" ref="M171">SUMPRODUCT((Table2[Category]=Table2[[#This Row],[Category]])*(Table2[[#This Row],[Price per calorie]]&gt;Table2[Price per calorie]))+1</f>
        <v/>
      </c>
      <c r="N171" s="45">
        <f>IF(Table2[[#This Row],[Widely available?]]=FALSE,1,0)</f>
        <v/>
      </c>
      <c r="O171" s="45">
        <f>SUMIFS(Table2[Count false],Table2[Category],Table2[[#This Row],[Category]],Table2[Caloric content2],"&lt;"&amp;Table2[[#This Row],[Caloric content2]])</f>
        <v/>
      </c>
      <c r="P171" s="73">
        <f>IF(Table2[[#This Row],[Widely available?]]=TRUE,Table2[[#This Row],[Caloric content2]]-Table2[[#This Row],[subtract]],0)</f>
        <v/>
      </c>
      <c r="Q171" s="22">
        <f>IF(Table2[[#This Row],[Final rank]]&gt;0,Table2[[#This Row],[Category]]&amp;Table2[[#This Row],[Final rank]],"")</f>
        <v/>
      </c>
    </row>
    <row r="172">
      <c r="B172" s="22">
        <f>'Food costs - Input data'!B35</f>
        <v/>
      </c>
      <c r="C172" s="22">
        <f>'Food costs - Input data'!C35</f>
        <v/>
      </c>
      <c r="D172" s="497">
        <f>COUNTA('Food costs - Input data'!D35:AB35)</f>
        <v/>
      </c>
      <c r="E172" s="497">
        <f>_xlfn.MAXIFS(Table2[Availability],Table2[Category],Table2[[#This Row],[Category]])</f>
        <v/>
      </c>
      <c r="F172" s="497">
        <f>Table2[[#This Row],[Availability]] &gt;= 0.25*Table2[[#This Row],[Most availble in category]]</f>
        <v/>
      </c>
      <c r="G172" s="497">
        <f>(Table2[[#This Row],[Protein (g)]] * 4 +Table2[[#This Row],[Fat, total (g)]] * 9 + Table2[[#This Row],[Carbohydrate (g)]] *4 )</f>
        <v/>
      </c>
      <c r="H172" s="45">
        <f>'Nutritional input'!E54</f>
        <v/>
      </c>
      <c r="I172" s="45">
        <f>'Nutritional input'!F54</f>
        <v/>
      </c>
      <c r="J172" s="45">
        <f>'Nutritional input'!G54</f>
        <v/>
      </c>
      <c r="K172" s="45">
        <f>'Nutritional input'!H54</f>
        <v/>
      </c>
      <c r="L172" s="505">
        <f>IFERROR((_xlfn.XLOOKUP(Table2[[#This Row],[Item]],'Food costs - Input data'!C:C,'Food costs - Input data'!AE:AE)/Table2[[#This Row],[Edible portion]]) / (10*Table2[[#This Row],[Energy (kcal) per 100g edible portion]]),0)</f>
        <v/>
      </c>
      <c r="M172" s="45">
        <f t="array" ref="M172">SUMPRODUCT((Table2[Category]=Table2[[#This Row],[Category]])*(Table2[[#This Row],[Price per calorie]]&gt;Table2[Price per calorie]))+1</f>
        <v/>
      </c>
      <c r="N172" s="45">
        <f>IF(Table2[[#This Row],[Widely available?]]=FALSE,1,0)</f>
        <v/>
      </c>
      <c r="O172" s="45">
        <f>SUMIFS(Table2[Count false],Table2[Category],Table2[[#This Row],[Category]],Table2[Caloric content2],"&lt;"&amp;Table2[[#This Row],[Caloric content2]])</f>
        <v/>
      </c>
      <c r="P172" s="73">
        <f>IF(Table2[[#This Row],[Widely available?]]=TRUE,Table2[[#This Row],[Caloric content2]]-Table2[[#This Row],[subtract]],0)</f>
        <v/>
      </c>
      <c r="Q172" s="22">
        <f>IF(Table2[[#This Row],[Final rank]]&gt;0,Table2[[#This Row],[Category]]&amp;Table2[[#This Row],[Final rank]],"")</f>
        <v/>
      </c>
    </row>
    <row r="173">
      <c r="B173" s="22">
        <f>'Food costs - Input data'!B36</f>
        <v/>
      </c>
      <c r="C173" s="22">
        <f>'Food costs - Input data'!C36</f>
        <v/>
      </c>
      <c r="D173" s="497">
        <f>COUNTA('Food costs - Input data'!D36:AB36)</f>
        <v/>
      </c>
      <c r="E173" s="497">
        <f>_xlfn.MAXIFS(Table2[Availability],Table2[Category],Table2[[#This Row],[Category]])</f>
        <v/>
      </c>
      <c r="F173" s="497">
        <f>Table2[[#This Row],[Availability]] &gt;= 0.25*Table2[[#This Row],[Most availble in category]]</f>
        <v/>
      </c>
      <c r="G173" s="497">
        <f>(Table2[[#This Row],[Protein (g)]] * 4 +Table2[[#This Row],[Fat, total (g)]] * 9 + Table2[[#This Row],[Carbohydrate (g)]] *4 )</f>
        <v/>
      </c>
      <c r="H173" s="45">
        <f>'Nutritional input'!E55</f>
        <v/>
      </c>
      <c r="I173" s="45">
        <f>'Nutritional input'!F55</f>
        <v/>
      </c>
      <c r="J173" s="45">
        <f>'Nutritional input'!G55</f>
        <v/>
      </c>
      <c r="K173" s="45">
        <f>'Nutritional input'!H55</f>
        <v/>
      </c>
      <c r="L173" s="505">
        <f>IFERROR((_xlfn.XLOOKUP(Table2[[#This Row],[Item]],'Food costs - Input data'!C:C,'Food costs - Input data'!AE:AE)/Table2[[#This Row],[Edible portion]]) / (10*Table2[[#This Row],[Energy (kcal) per 100g edible portion]]),0)</f>
        <v/>
      </c>
      <c r="M173" s="45">
        <f t="array" ref="M173">SUMPRODUCT((Table2[Category]=Table2[[#This Row],[Category]])*(Table2[[#This Row],[Price per calorie]]&gt;Table2[Price per calorie]))+1</f>
        <v/>
      </c>
      <c r="N173" s="45">
        <f>IF(Table2[[#This Row],[Widely available?]]=FALSE,1,0)</f>
        <v/>
      </c>
      <c r="O173" s="45">
        <f>SUMIFS(Table2[Count false],Table2[Category],Table2[[#This Row],[Category]],Table2[Caloric content2],"&lt;"&amp;Table2[[#This Row],[Caloric content2]])</f>
        <v/>
      </c>
      <c r="P173" s="73">
        <f>IF(Table2[[#This Row],[Widely available?]]=TRUE,Table2[[#This Row],[Caloric content2]]-Table2[[#This Row],[subtract]],0)</f>
        <v/>
      </c>
      <c r="Q173" s="22">
        <f>IF(Table2[[#This Row],[Final rank]]&gt;0,Table2[[#This Row],[Category]]&amp;Table2[[#This Row],[Final rank]],"")</f>
        <v/>
      </c>
    </row>
    <row r="174">
      <c r="B174" s="22">
        <f>'Food costs - Input data'!B37</f>
        <v/>
      </c>
      <c r="C174" s="22">
        <f>'Food costs - Input data'!C37</f>
        <v/>
      </c>
      <c r="D174" s="497">
        <f>COUNTA('Food costs - Input data'!D37:AB37)</f>
        <v/>
      </c>
      <c r="E174" s="497">
        <f>_xlfn.MAXIFS(Table2[Availability],Table2[Category],Table2[[#This Row],[Category]])</f>
        <v/>
      </c>
      <c r="F174" s="497">
        <f>Table2[[#This Row],[Availability]] &gt;= 0.25*Table2[[#This Row],[Most availble in category]]</f>
        <v/>
      </c>
      <c r="G174" s="497">
        <f>(Table2[[#This Row],[Protein (g)]] * 4 +Table2[[#This Row],[Fat, total (g)]] * 9 + Table2[[#This Row],[Carbohydrate (g)]] *4 )</f>
        <v/>
      </c>
      <c r="H174" s="45">
        <f>'Nutritional input'!E56</f>
        <v/>
      </c>
      <c r="I174" s="45">
        <f>'Nutritional input'!F56</f>
        <v/>
      </c>
      <c r="J174" s="45">
        <f>'Nutritional input'!G56</f>
        <v/>
      </c>
      <c r="K174" s="45">
        <f>'Nutritional input'!H56</f>
        <v/>
      </c>
      <c r="L174" s="505">
        <f>IFERROR((_xlfn.XLOOKUP(Table2[[#This Row],[Item]],'Food costs - Input data'!C:C,'Food costs - Input data'!AE:AE)/Table2[[#This Row],[Edible portion]]) / (10*Table2[[#This Row],[Energy (kcal) per 100g edible portion]]),0)</f>
        <v/>
      </c>
      <c r="M174" s="45">
        <f t="array" ref="M174">SUMPRODUCT((Table2[Category]=Table2[[#This Row],[Category]])*(Table2[[#This Row],[Price per calorie]]&gt;Table2[Price per calorie]))+1</f>
        <v/>
      </c>
      <c r="N174" s="45">
        <f>IF(Table2[[#This Row],[Widely available?]]=FALSE,1,0)</f>
        <v/>
      </c>
      <c r="O174" s="45">
        <f>SUMIFS(Table2[Count false],Table2[Category],Table2[[#This Row],[Category]],Table2[Caloric content2],"&lt;"&amp;Table2[[#This Row],[Caloric content2]])</f>
        <v/>
      </c>
      <c r="P174" s="73">
        <f>IF(Table2[[#This Row],[Widely available?]]=TRUE,Table2[[#This Row],[Caloric content2]]-Table2[[#This Row],[subtract]],0)</f>
        <v/>
      </c>
      <c r="Q174" s="22">
        <f>IF(Table2[[#This Row],[Final rank]]&gt;0,Table2[[#This Row],[Category]]&amp;Table2[[#This Row],[Final rank]],"")</f>
        <v/>
      </c>
    </row>
    <row r="175">
      <c r="B175" s="22">
        <f>'Food costs - Input data'!B38</f>
        <v/>
      </c>
      <c r="C175" s="22">
        <f>'Food costs - Input data'!C38</f>
        <v/>
      </c>
      <c r="D175" s="497">
        <f>COUNTA('Food costs - Input data'!D38:AB38)</f>
        <v/>
      </c>
      <c r="E175" s="497">
        <f>_xlfn.MAXIFS(Table2[Availability],Table2[Category],Table2[[#This Row],[Category]])</f>
        <v/>
      </c>
      <c r="F175" s="497">
        <f>Table2[[#This Row],[Availability]] &gt;= 0.25*Table2[[#This Row],[Most availble in category]]</f>
        <v/>
      </c>
      <c r="G175" s="497">
        <f>(Table2[[#This Row],[Protein (g)]] * 4 +Table2[[#This Row],[Fat, total (g)]] * 9 + Table2[[#This Row],[Carbohydrate (g)]] *4 )</f>
        <v/>
      </c>
      <c r="H175" s="45">
        <f>'Nutritional input'!E57</f>
        <v/>
      </c>
      <c r="I175" s="45">
        <f>'Nutritional input'!F57</f>
        <v/>
      </c>
      <c r="J175" s="45">
        <f>'Nutritional input'!G57</f>
        <v/>
      </c>
      <c r="K175" s="45">
        <f>'Nutritional input'!H57</f>
        <v/>
      </c>
      <c r="L175" s="505">
        <f>IFERROR((_xlfn.XLOOKUP(Table2[[#This Row],[Item]],'Food costs - Input data'!C:C,'Food costs - Input data'!AE:AE)/Table2[[#This Row],[Edible portion]]) / (10*Table2[[#This Row],[Energy (kcal) per 100g edible portion]]),0)</f>
        <v/>
      </c>
      <c r="M175" s="45">
        <f t="array" ref="M175">SUMPRODUCT((Table2[Category]=Table2[[#This Row],[Category]])*(Table2[[#This Row],[Price per calorie]]&gt;Table2[Price per calorie]))+1</f>
        <v/>
      </c>
      <c r="N175" s="45">
        <f>IF(Table2[[#This Row],[Widely available?]]=FALSE,1,0)</f>
        <v/>
      </c>
      <c r="O175" s="45">
        <f>SUMIFS(Table2[Count false],Table2[Category],Table2[[#This Row],[Category]],Table2[Caloric content2],"&lt;"&amp;Table2[[#This Row],[Caloric content2]])</f>
        <v/>
      </c>
      <c r="P175" s="73">
        <f>IF(Table2[[#This Row],[Widely available?]]=TRUE,Table2[[#This Row],[Caloric content2]]-Table2[[#This Row],[subtract]],0)</f>
        <v/>
      </c>
      <c r="Q175" s="22">
        <f>IF(Table2[[#This Row],[Final rank]]&gt;0,Table2[[#This Row],[Category]]&amp;Table2[[#This Row],[Final rank]],"")</f>
        <v/>
      </c>
    </row>
    <row r="176">
      <c r="B176" s="22">
        <f>'Food costs - Input data'!B39</f>
        <v/>
      </c>
      <c r="C176" s="22">
        <f>'Food costs - Input data'!C39</f>
        <v/>
      </c>
      <c r="D176" s="497">
        <f>COUNTA('Food costs - Input data'!D39:AB39)</f>
        <v/>
      </c>
      <c r="E176" s="497">
        <f>_xlfn.MAXIFS(Table2[Availability],Table2[Category],Table2[[#This Row],[Category]])</f>
        <v/>
      </c>
      <c r="F176" s="497">
        <f>Table2[[#This Row],[Availability]] &gt;= 0.25*Table2[[#This Row],[Most availble in category]]</f>
        <v/>
      </c>
      <c r="G176" s="497">
        <f>(Table2[[#This Row],[Protein (g)]] * 4 +Table2[[#This Row],[Fat, total (g)]] * 9 + Table2[[#This Row],[Carbohydrate (g)]] *4 )</f>
        <v/>
      </c>
      <c r="H176" s="45">
        <f>'Nutritional input'!E58</f>
        <v/>
      </c>
      <c r="I176" s="45">
        <f>'Nutritional input'!F58</f>
        <v/>
      </c>
      <c r="J176" s="45">
        <f>'Nutritional input'!G58</f>
        <v/>
      </c>
      <c r="K176" s="45">
        <f>'Nutritional input'!H58</f>
        <v/>
      </c>
      <c r="L176" s="505">
        <f>IFERROR((_xlfn.XLOOKUP(Table2[[#This Row],[Item]],'Food costs - Input data'!C:C,'Food costs - Input data'!AE:AE)/Table2[[#This Row],[Edible portion]]) / (10*Table2[[#This Row],[Energy (kcal) per 100g edible portion]]),0)</f>
        <v/>
      </c>
      <c r="M176" s="45">
        <f t="array" ref="M176">SUMPRODUCT((Table2[Category]=Table2[[#This Row],[Category]])*(Table2[[#This Row],[Price per calorie]]&gt;Table2[Price per calorie]))+1</f>
        <v/>
      </c>
      <c r="N176" s="45">
        <f>IF(Table2[[#This Row],[Widely available?]]=FALSE,1,0)</f>
        <v/>
      </c>
      <c r="O176" s="45">
        <f>SUMIFS(Table2[Count false],Table2[Category],Table2[[#This Row],[Category]],Table2[Caloric content2],"&lt;"&amp;Table2[[#This Row],[Caloric content2]])</f>
        <v/>
      </c>
      <c r="P176" s="73">
        <f>IF(Table2[[#This Row],[Widely available?]]=TRUE,Table2[[#This Row],[Caloric content2]]-Table2[[#This Row],[subtract]],0)</f>
        <v/>
      </c>
      <c r="Q176" s="22">
        <f>IF(Table2[[#This Row],[Final rank]]&gt;0,Table2[[#This Row],[Category]]&amp;Table2[[#This Row],[Final rank]],"")</f>
        <v/>
      </c>
    </row>
    <row r="177">
      <c r="B177" s="22">
        <f>'Food costs - Input data'!B40</f>
        <v/>
      </c>
      <c r="C177" s="22">
        <f>'Food costs - Input data'!C40</f>
        <v/>
      </c>
      <c r="D177" s="497">
        <f>COUNTA('Food costs - Input data'!D40:AB40)</f>
        <v/>
      </c>
      <c r="E177" s="497">
        <f>_xlfn.MAXIFS(Table2[Availability],Table2[Category],Table2[[#This Row],[Category]])</f>
        <v/>
      </c>
      <c r="F177" s="497">
        <f>Table2[[#This Row],[Availability]] &gt;= 0.25*Table2[[#This Row],[Most availble in category]]</f>
        <v/>
      </c>
      <c r="G177" s="497">
        <f>(Table2[[#This Row],[Protein (g)]] * 4 +Table2[[#This Row],[Fat, total (g)]] * 9 + Table2[[#This Row],[Carbohydrate (g)]] *4 )</f>
        <v/>
      </c>
      <c r="H177" s="45">
        <f>'Nutritional input'!E59</f>
        <v/>
      </c>
      <c r="I177" s="45">
        <f>'Nutritional input'!F59</f>
        <v/>
      </c>
      <c r="J177" s="45">
        <f>'Nutritional input'!G59</f>
        <v/>
      </c>
      <c r="K177" s="45">
        <f>'Nutritional input'!H59</f>
        <v/>
      </c>
      <c r="L177" s="505">
        <f>IFERROR((_xlfn.XLOOKUP(Table2[[#This Row],[Item]],'Food costs - Input data'!C:C,'Food costs - Input data'!AE:AE)/Table2[[#This Row],[Edible portion]]) / (10*Table2[[#This Row],[Energy (kcal) per 100g edible portion]]),0)</f>
        <v/>
      </c>
      <c r="M177" s="45">
        <f t="array" ref="M177">SUMPRODUCT((Table2[Category]=Table2[[#This Row],[Category]])*(Table2[[#This Row],[Price per calorie]]&gt;Table2[Price per calorie]))+1</f>
        <v/>
      </c>
      <c r="N177" s="45">
        <f>IF(Table2[[#This Row],[Widely available?]]=FALSE,1,0)</f>
        <v/>
      </c>
      <c r="O177" s="45">
        <f>SUMIFS(Table2[Count false],Table2[Category],Table2[[#This Row],[Category]],Table2[Caloric content2],"&lt;"&amp;Table2[[#This Row],[Caloric content2]])</f>
        <v/>
      </c>
      <c r="P177" s="73">
        <f>IF(Table2[[#This Row],[Widely available?]]=TRUE,Table2[[#This Row],[Caloric content2]]-Table2[[#This Row],[subtract]],0)</f>
        <v/>
      </c>
      <c r="Q177" s="22">
        <f>IF(Table2[[#This Row],[Final rank]]&gt;0,Table2[[#This Row],[Category]]&amp;Table2[[#This Row],[Final rank]],"")</f>
        <v/>
      </c>
    </row>
    <row r="178">
      <c r="B178" s="22">
        <f>'Food costs - Input data'!B41</f>
        <v/>
      </c>
      <c r="C178" s="22">
        <f>'Food costs - Input data'!C41</f>
        <v/>
      </c>
      <c r="D178" s="497">
        <f>COUNTA('Food costs - Input data'!D41:AB41)</f>
        <v/>
      </c>
      <c r="E178" s="497">
        <f>_xlfn.MAXIFS(Table2[Availability],Table2[Category],Table2[[#This Row],[Category]])</f>
        <v/>
      </c>
      <c r="F178" s="497">
        <f>Table2[[#This Row],[Availability]] &gt;= 0.25*Table2[[#This Row],[Most availble in category]]</f>
        <v/>
      </c>
      <c r="G178" s="497">
        <f>(Table2[[#This Row],[Protein (g)]] * 4 +Table2[[#This Row],[Fat, total (g)]] * 9 + Table2[[#This Row],[Carbohydrate (g)]] *4 )</f>
        <v/>
      </c>
      <c r="H178" s="45">
        <f>'Nutritional input'!E60</f>
        <v/>
      </c>
      <c r="I178" s="45">
        <f>'Nutritional input'!F60</f>
        <v/>
      </c>
      <c r="J178" s="45">
        <f>'Nutritional input'!G60</f>
        <v/>
      </c>
      <c r="K178" s="45">
        <f>'Nutritional input'!H60</f>
        <v/>
      </c>
      <c r="L178" s="505">
        <f>IFERROR((_xlfn.XLOOKUP(Table2[[#This Row],[Item]],'Food costs - Input data'!C:C,'Food costs - Input data'!AE:AE)/Table2[[#This Row],[Edible portion]]) / (10*Table2[[#This Row],[Energy (kcal) per 100g edible portion]]),0)</f>
        <v/>
      </c>
      <c r="M178" s="45">
        <f t="array" ref="M178">SUMPRODUCT((Table2[Category]=Table2[[#This Row],[Category]])*(Table2[[#This Row],[Price per calorie]]&gt;Table2[Price per calorie]))+1</f>
        <v/>
      </c>
      <c r="N178" s="45">
        <f>IF(Table2[[#This Row],[Widely available?]]=FALSE,1,0)</f>
        <v/>
      </c>
      <c r="O178" s="45">
        <f>SUMIFS(Table2[Count false],Table2[Category],Table2[[#This Row],[Category]],Table2[Caloric content2],"&lt;"&amp;Table2[[#This Row],[Caloric content2]])</f>
        <v/>
      </c>
      <c r="P178" s="73">
        <f>IF(Table2[[#This Row],[Widely available?]]=TRUE,Table2[[#This Row],[Caloric content2]]-Table2[[#This Row],[subtract]],0)</f>
        <v/>
      </c>
      <c r="Q178" s="22">
        <f>IF(Table2[[#This Row],[Final rank]]&gt;0,Table2[[#This Row],[Category]]&amp;Table2[[#This Row],[Final rank]],"")</f>
        <v/>
      </c>
    </row>
    <row r="179">
      <c r="B179" s="22">
        <f>'Food costs - Input data'!B42</f>
        <v/>
      </c>
      <c r="C179" s="22">
        <f>'Food costs - Input data'!C42</f>
        <v/>
      </c>
      <c r="D179" s="497">
        <f>COUNTA('Food costs - Input data'!D42:AB42)</f>
        <v/>
      </c>
      <c r="E179" s="497">
        <f>_xlfn.MAXIFS(Table2[Availability],Table2[Category],Table2[[#This Row],[Category]])</f>
        <v/>
      </c>
      <c r="F179" s="497">
        <f>Table2[[#This Row],[Availability]] &gt;= 0.25*Table2[[#This Row],[Most availble in category]]</f>
        <v/>
      </c>
      <c r="G179" s="497">
        <f>(Table2[[#This Row],[Protein (g)]] * 4 +Table2[[#This Row],[Fat, total (g)]] * 9 + Table2[[#This Row],[Carbohydrate (g)]] *4 )</f>
        <v/>
      </c>
      <c r="H179" s="45">
        <f>'Nutritional input'!E61</f>
        <v/>
      </c>
      <c r="I179" s="45">
        <f>'Nutritional input'!F61</f>
        <v/>
      </c>
      <c r="J179" s="45">
        <f>'Nutritional input'!G61</f>
        <v/>
      </c>
      <c r="K179" s="45">
        <f>'Nutritional input'!H61</f>
        <v/>
      </c>
      <c r="L179" s="505">
        <f>IFERROR((_xlfn.XLOOKUP(Table2[[#This Row],[Item]],'Food costs - Input data'!C:C,'Food costs - Input data'!AE:AE)/Table2[[#This Row],[Edible portion]]) / (10*Table2[[#This Row],[Energy (kcal) per 100g edible portion]]),0)</f>
        <v/>
      </c>
      <c r="M179" s="45">
        <f t="array" ref="M179">SUMPRODUCT((Table2[Category]=Table2[[#This Row],[Category]])*(Table2[[#This Row],[Price per calorie]]&gt;Table2[Price per calorie]))+1</f>
        <v/>
      </c>
      <c r="N179" s="45">
        <f>IF(Table2[[#This Row],[Widely available?]]=FALSE,1,0)</f>
        <v/>
      </c>
      <c r="O179" s="45">
        <f>SUMIFS(Table2[Count false],Table2[Category],Table2[[#This Row],[Category]],Table2[Caloric content2],"&lt;"&amp;Table2[[#This Row],[Caloric content2]])</f>
        <v/>
      </c>
      <c r="P179" s="73">
        <f>IF(Table2[[#This Row],[Widely available?]]=TRUE,Table2[[#This Row],[Caloric content2]]-Table2[[#This Row],[subtract]],0)</f>
        <v/>
      </c>
      <c r="Q179" s="22">
        <f>IF(Table2[[#This Row],[Final rank]]&gt;0,Table2[[#This Row],[Category]]&amp;Table2[[#This Row],[Final rank]],"")</f>
        <v/>
      </c>
    </row>
    <row r="180">
      <c r="B180" s="22">
        <f>'Food costs - Input data'!B43</f>
        <v/>
      </c>
      <c r="C180" s="22">
        <f>'Food costs - Input data'!C43</f>
        <v/>
      </c>
      <c r="D180" s="497">
        <f>COUNTA('Food costs - Input data'!D43:AB43)</f>
        <v/>
      </c>
      <c r="E180" s="497">
        <f>_xlfn.MAXIFS(Table2[Availability],Table2[Category],Table2[[#This Row],[Category]])</f>
        <v/>
      </c>
      <c r="F180" s="497">
        <f>Table2[[#This Row],[Availability]] &gt;= 0.25*Table2[[#This Row],[Most availble in category]]</f>
        <v/>
      </c>
      <c r="G180" s="497">
        <f>(Table2[[#This Row],[Protein (g)]] * 4 +Table2[[#This Row],[Fat, total (g)]] * 9 + Table2[[#This Row],[Carbohydrate (g)]] *4 )</f>
        <v/>
      </c>
      <c r="H180" s="45">
        <f>'Nutritional input'!E62</f>
        <v/>
      </c>
      <c r="I180" s="45">
        <f>'Nutritional input'!F62</f>
        <v/>
      </c>
      <c r="J180" s="45">
        <f>'Nutritional input'!G62</f>
        <v/>
      </c>
      <c r="K180" s="45">
        <f>'Nutritional input'!H62</f>
        <v/>
      </c>
      <c r="L180" s="505">
        <f>IFERROR((_xlfn.XLOOKUP(Table2[[#This Row],[Item]],'Food costs - Input data'!C:C,'Food costs - Input data'!AE:AE)/Table2[[#This Row],[Edible portion]]) / (10*Table2[[#This Row],[Energy (kcal) per 100g edible portion]]),0)</f>
        <v/>
      </c>
      <c r="M180" s="45">
        <f t="array" ref="M180">SUMPRODUCT((Table2[Category]=Table2[[#This Row],[Category]])*(Table2[[#This Row],[Price per calorie]]&gt;Table2[Price per calorie]))+1</f>
        <v/>
      </c>
      <c r="N180" s="45">
        <f>IF(Table2[[#This Row],[Widely available?]]=FALSE,1,0)</f>
        <v/>
      </c>
      <c r="O180" s="45">
        <f>SUMIFS(Table2[Count false],Table2[Category],Table2[[#This Row],[Category]],Table2[Caloric content2],"&lt;"&amp;Table2[[#This Row],[Caloric content2]])</f>
        <v/>
      </c>
      <c r="P180" s="73">
        <f>IF(Table2[[#This Row],[Widely available?]]=TRUE,Table2[[#This Row],[Caloric content2]]-Table2[[#This Row],[subtract]],0)</f>
        <v/>
      </c>
      <c r="Q180" s="22">
        <f>IF(Table2[[#This Row],[Final rank]]&gt;0,Table2[[#This Row],[Category]]&amp;Table2[[#This Row],[Final rank]],"")</f>
        <v/>
      </c>
    </row>
    <row r="181">
      <c r="B181" s="22">
        <f>'Food costs - Input data'!B44</f>
        <v/>
      </c>
      <c r="C181" s="22">
        <f>'Food costs - Input data'!C44</f>
        <v/>
      </c>
      <c r="D181" s="497">
        <f>COUNTA('Food costs - Input data'!D44:AB44)</f>
        <v/>
      </c>
      <c r="E181" s="497">
        <f>_xlfn.MAXIFS(Table2[Availability],Table2[Category],Table2[[#This Row],[Category]])</f>
        <v/>
      </c>
      <c r="F181" s="497">
        <f>Table2[[#This Row],[Availability]] &gt;= 0.25*Table2[[#This Row],[Most availble in category]]</f>
        <v/>
      </c>
      <c r="G181" s="497">
        <f>(Table2[[#This Row],[Protein (g)]] * 4 +Table2[[#This Row],[Fat, total (g)]] * 9 + Table2[[#This Row],[Carbohydrate (g)]] *4 )</f>
        <v/>
      </c>
      <c r="H181" s="45">
        <f>'Nutritional input'!E63</f>
        <v/>
      </c>
      <c r="I181" s="45">
        <f>'Nutritional input'!F63</f>
        <v/>
      </c>
      <c r="J181" s="45">
        <f>'Nutritional input'!G63</f>
        <v/>
      </c>
      <c r="K181" s="45">
        <f>'Nutritional input'!H63</f>
        <v/>
      </c>
      <c r="L181" s="505">
        <f>IFERROR((_xlfn.XLOOKUP(Table2[[#This Row],[Item]],'Food costs - Input data'!C:C,'Food costs - Input data'!AE:AE)/Table2[[#This Row],[Edible portion]]) / (10*Table2[[#This Row],[Energy (kcal) per 100g edible portion]]),0)</f>
        <v/>
      </c>
      <c r="M181" s="45">
        <f t="array" ref="M181">SUMPRODUCT((Table2[Category]=Table2[[#This Row],[Category]])*(Table2[[#This Row],[Price per calorie]]&gt;Table2[Price per calorie]))+1</f>
        <v/>
      </c>
      <c r="N181" s="45">
        <f>IF(Table2[[#This Row],[Widely available?]]=FALSE,1,0)</f>
        <v/>
      </c>
      <c r="O181" s="45">
        <f>SUMIFS(Table2[Count false],Table2[Category],Table2[[#This Row],[Category]],Table2[Caloric content2],"&lt;"&amp;Table2[[#This Row],[Caloric content2]])</f>
        <v/>
      </c>
      <c r="P181" s="73">
        <f>IF(Table2[[#This Row],[Widely available?]]=TRUE,Table2[[#This Row],[Caloric content2]]-Table2[[#This Row],[subtract]],0)</f>
        <v/>
      </c>
      <c r="Q181" s="22">
        <f>IF(Table2[[#This Row],[Final rank]]&gt;0,Table2[[#This Row],[Category]]&amp;Table2[[#This Row],[Final rank]],"")</f>
        <v/>
      </c>
    </row>
    <row r="182">
      <c r="B182" s="22">
        <f>'Food costs - Input data'!B45</f>
        <v/>
      </c>
      <c r="C182" s="22">
        <f>'Food costs - Input data'!C45</f>
        <v/>
      </c>
      <c r="D182" s="497">
        <f>COUNTA('Food costs - Input data'!D45:AB45)</f>
        <v/>
      </c>
      <c r="E182" s="497">
        <f>_xlfn.MAXIFS(Table2[Availability],Table2[Category],Table2[[#This Row],[Category]])</f>
        <v/>
      </c>
      <c r="F182" s="497">
        <f>Table2[[#This Row],[Availability]] &gt;= 0.25*Table2[[#This Row],[Most availble in category]]</f>
        <v/>
      </c>
      <c r="G182" s="497">
        <f>(Table2[[#This Row],[Protein (g)]] * 4 +Table2[[#This Row],[Fat, total (g)]] * 9 + Table2[[#This Row],[Carbohydrate (g)]] *4 )</f>
        <v/>
      </c>
      <c r="H182" s="45">
        <f>'Nutritional input'!E64</f>
        <v/>
      </c>
      <c r="I182" s="45">
        <f>'Nutritional input'!F64</f>
        <v/>
      </c>
      <c r="J182" s="45">
        <f>'Nutritional input'!G64</f>
        <v/>
      </c>
      <c r="K182" s="45">
        <f>'Nutritional input'!H64</f>
        <v/>
      </c>
      <c r="L182" s="505">
        <f>IFERROR((_xlfn.XLOOKUP(Table2[[#This Row],[Item]],'Food costs - Input data'!C:C,'Food costs - Input data'!AE:AE)/Table2[[#This Row],[Edible portion]]) / (10*Table2[[#This Row],[Energy (kcal) per 100g edible portion]]),0)</f>
        <v/>
      </c>
      <c r="M182" s="45">
        <f t="array" ref="M182">SUMPRODUCT((Table2[Category]=Table2[[#This Row],[Category]])*(Table2[[#This Row],[Price per calorie]]&gt;Table2[Price per calorie]))+1</f>
        <v/>
      </c>
      <c r="N182" s="45">
        <f>IF(Table2[[#This Row],[Widely available?]]=FALSE,1,0)</f>
        <v/>
      </c>
      <c r="O182" s="45">
        <f>SUMIFS(Table2[Count false],Table2[Category],Table2[[#This Row],[Category]],Table2[Caloric content2],"&lt;"&amp;Table2[[#This Row],[Caloric content2]])</f>
        <v/>
      </c>
      <c r="P182" s="73">
        <f>IF(Table2[[#This Row],[Widely available?]]=TRUE,Table2[[#This Row],[Caloric content2]]-Table2[[#This Row],[subtract]],0)</f>
        <v/>
      </c>
      <c r="Q182" s="22">
        <f>IF(Table2[[#This Row],[Final rank]]&gt;0,Table2[[#This Row],[Category]]&amp;Table2[[#This Row],[Final rank]],"")</f>
        <v/>
      </c>
    </row>
    <row r="183">
      <c r="B183" s="22">
        <f>'Food costs - Input data'!B46</f>
        <v/>
      </c>
      <c r="C183" s="22">
        <f>'Food costs - Input data'!C46</f>
        <v/>
      </c>
      <c r="D183" s="497">
        <f>COUNTA('Food costs - Input data'!D46:AB46)</f>
        <v/>
      </c>
      <c r="E183" s="497">
        <f>_xlfn.MAXIFS(Table2[Availability],Table2[Category],Table2[[#This Row],[Category]])</f>
        <v/>
      </c>
      <c r="F183" s="497">
        <f>Table2[[#This Row],[Availability]] &gt;= 0.25*Table2[[#This Row],[Most availble in category]]</f>
        <v/>
      </c>
      <c r="G183" s="497">
        <f>(Table2[[#This Row],[Protein (g)]] * 4 +Table2[[#This Row],[Fat, total (g)]] * 9 + Table2[[#This Row],[Carbohydrate (g)]] *4 )</f>
        <v/>
      </c>
      <c r="H183" s="45">
        <f>'Nutritional input'!E65</f>
        <v/>
      </c>
      <c r="I183" s="45">
        <f>'Nutritional input'!F65</f>
        <v/>
      </c>
      <c r="J183" s="45">
        <f>'Nutritional input'!G65</f>
        <v/>
      </c>
      <c r="K183" s="45">
        <f>'Nutritional input'!H65</f>
        <v/>
      </c>
      <c r="L183" s="505">
        <f>IFERROR((_xlfn.XLOOKUP(Table2[[#This Row],[Item]],'Food costs - Input data'!C:C,'Food costs - Input data'!AE:AE)/Table2[[#This Row],[Edible portion]]) / (10*Table2[[#This Row],[Energy (kcal) per 100g edible portion]]),0)</f>
        <v/>
      </c>
      <c r="M183" s="45">
        <f t="array" ref="M183">SUMPRODUCT((Table2[Category]=Table2[[#This Row],[Category]])*(Table2[[#This Row],[Price per calorie]]&gt;Table2[Price per calorie]))+1</f>
        <v/>
      </c>
      <c r="N183" s="45">
        <f>IF(Table2[[#This Row],[Widely available?]]=FALSE,1,0)</f>
        <v/>
      </c>
      <c r="O183" s="45">
        <f>SUMIFS(Table2[Count false],Table2[Category],Table2[[#This Row],[Category]],Table2[Caloric content2],"&lt;"&amp;Table2[[#This Row],[Caloric content2]])</f>
        <v/>
      </c>
      <c r="P183" s="73">
        <f>IF(Table2[[#This Row],[Widely available?]]=TRUE,Table2[[#This Row],[Caloric content2]]-Table2[[#This Row],[subtract]],0)</f>
        <v/>
      </c>
      <c r="Q183" s="22">
        <f>IF(Table2[[#This Row],[Final rank]]&gt;0,Table2[[#This Row],[Category]]&amp;Table2[[#This Row],[Final rank]],"")</f>
        <v/>
      </c>
    </row>
    <row r="184">
      <c r="B184" s="22">
        <f>'Food costs - Input data'!B47</f>
        <v/>
      </c>
      <c r="C184" s="22">
        <f>'Food costs - Input data'!C47</f>
        <v/>
      </c>
      <c r="D184" s="497">
        <f>COUNTA('Food costs - Input data'!D47:AB47)</f>
        <v/>
      </c>
      <c r="E184" s="497">
        <f>_xlfn.MAXIFS(Table2[Availability],Table2[Category],Table2[[#This Row],[Category]])</f>
        <v/>
      </c>
      <c r="F184" s="497">
        <f>Table2[[#This Row],[Availability]] &gt;= 0.25*Table2[[#This Row],[Most availble in category]]</f>
        <v/>
      </c>
      <c r="G184" s="497">
        <f>(Table2[[#This Row],[Protein (g)]] * 4 +Table2[[#This Row],[Fat, total (g)]] * 9 + Table2[[#This Row],[Carbohydrate (g)]] *4 )</f>
        <v/>
      </c>
      <c r="H184" s="45">
        <f>'Nutritional input'!E66</f>
        <v/>
      </c>
      <c r="I184" s="45">
        <f>'Nutritional input'!F66</f>
        <v/>
      </c>
      <c r="J184" s="45">
        <f>'Nutritional input'!G66</f>
        <v/>
      </c>
      <c r="K184" s="45">
        <f>'Nutritional input'!H66</f>
        <v/>
      </c>
      <c r="L184" s="505">
        <f>IFERROR((_xlfn.XLOOKUP(Table2[[#This Row],[Item]],'Food costs - Input data'!C:C,'Food costs - Input data'!AE:AE)/Table2[[#This Row],[Edible portion]]) / (10*Table2[[#This Row],[Energy (kcal) per 100g edible portion]]),0)</f>
        <v/>
      </c>
      <c r="M184" s="45">
        <f t="array" ref="M184">SUMPRODUCT((Table2[Category]=Table2[[#This Row],[Category]])*(Table2[[#This Row],[Price per calorie]]&gt;Table2[Price per calorie]))+1</f>
        <v/>
      </c>
      <c r="N184" s="45">
        <f>IF(Table2[[#This Row],[Widely available?]]=FALSE,1,0)</f>
        <v/>
      </c>
      <c r="O184" s="45">
        <f>SUMIFS(Table2[Count false],Table2[Category],Table2[[#This Row],[Category]],Table2[Caloric content2],"&lt;"&amp;Table2[[#This Row],[Caloric content2]])</f>
        <v/>
      </c>
      <c r="P184" s="73">
        <f>IF(Table2[[#This Row],[Widely available?]]=TRUE,Table2[[#This Row],[Caloric content2]]-Table2[[#This Row],[subtract]],0)</f>
        <v/>
      </c>
      <c r="Q184" s="22">
        <f>IF(Table2[[#This Row],[Final rank]]&gt;0,Table2[[#This Row],[Category]]&amp;Table2[[#This Row],[Final rank]],"")</f>
        <v/>
      </c>
    </row>
    <row r="185">
      <c r="B185" s="22">
        <f>'Food costs - Input data'!B48</f>
        <v/>
      </c>
      <c r="C185" s="22">
        <f>'Food costs - Input data'!C48</f>
        <v/>
      </c>
      <c r="D185" s="497">
        <f>COUNTA('Food costs - Input data'!D48:AB48)</f>
        <v/>
      </c>
      <c r="E185" s="497">
        <f>_xlfn.MAXIFS(Table2[Availability],Table2[Category],Table2[[#This Row],[Category]])</f>
        <v/>
      </c>
      <c r="F185" s="497">
        <f>Table2[[#This Row],[Availability]] &gt;= 0.25*Table2[[#This Row],[Most availble in category]]</f>
        <v/>
      </c>
      <c r="G185" s="497">
        <f>(Table2[[#This Row],[Protein (g)]] * 4 +Table2[[#This Row],[Fat, total (g)]] * 9 + Table2[[#This Row],[Carbohydrate (g)]] *4 )</f>
        <v/>
      </c>
      <c r="H185" s="45">
        <f>'Nutritional input'!E67</f>
        <v/>
      </c>
      <c r="I185" s="45">
        <f>'Nutritional input'!F67</f>
        <v/>
      </c>
      <c r="J185" s="45">
        <f>'Nutritional input'!G67</f>
        <v/>
      </c>
      <c r="K185" s="45">
        <f>'Nutritional input'!H67</f>
        <v/>
      </c>
      <c r="L185" s="505">
        <f>IFERROR((_xlfn.XLOOKUP(Table2[[#This Row],[Item]],'Food costs - Input data'!C:C,'Food costs - Input data'!AE:AE)/Table2[[#This Row],[Edible portion]]) / (10*Table2[[#This Row],[Energy (kcal) per 100g edible portion]]),0)</f>
        <v/>
      </c>
      <c r="M185" s="45">
        <f t="array" ref="M185">SUMPRODUCT((Table2[Category]=Table2[[#This Row],[Category]])*(Table2[[#This Row],[Price per calorie]]&gt;Table2[Price per calorie]))+1</f>
        <v/>
      </c>
      <c r="N185" s="45">
        <f>IF(Table2[[#This Row],[Widely available?]]=FALSE,1,0)</f>
        <v/>
      </c>
      <c r="O185" s="45">
        <f>SUMIFS(Table2[Count false],Table2[Category],Table2[[#This Row],[Category]],Table2[Caloric content2],"&lt;"&amp;Table2[[#This Row],[Caloric content2]])</f>
        <v/>
      </c>
      <c r="P185" s="73">
        <f>IF(Table2[[#This Row],[Widely available?]]=TRUE,Table2[[#This Row],[Caloric content2]]-Table2[[#This Row],[subtract]],0)</f>
        <v/>
      </c>
      <c r="Q185" s="22">
        <f>IF(Table2[[#This Row],[Final rank]]&gt;0,Table2[[#This Row],[Category]]&amp;Table2[[#This Row],[Final rank]],"")</f>
        <v/>
      </c>
    </row>
    <row r="186">
      <c r="B186" s="22">
        <f>'Food costs - Input data'!B49</f>
        <v/>
      </c>
      <c r="C186" s="22">
        <f>'Food costs - Input data'!C49</f>
        <v/>
      </c>
      <c r="D186" s="497">
        <f>COUNTA('Food costs - Input data'!D49:AB49)</f>
        <v/>
      </c>
      <c r="E186" s="497">
        <f>_xlfn.MAXIFS(Table2[Availability],Table2[Category],Table2[[#This Row],[Category]])</f>
        <v/>
      </c>
      <c r="F186" s="497">
        <f>Table2[[#This Row],[Availability]] &gt;= 0.25*Table2[[#This Row],[Most availble in category]]</f>
        <v/>
      </c>
      <c r="G186" s="497">
        <f>(Table2[[#This Row],[Protein (g)]] * 4 +Table2[[#This Row],[Fat, total (g)]] * 9 + Table2[[#This Row],[Carbohydrate (g)]] *4 )</f>
        <v/>
      </c>
      <c r="H186" s="45">
        <f>'Nutritional input'!E68</f>
        <v/>
      </c>
      <c r="I186" s="45">
        <f>'Nutritional input'!F68</f>
        <v/>
      </c>
      <c r="J186" s="45">
        <f>'Nutritional input'!G68</f>
        <v/>
      </c>
      <c r="K186" s="45">
        <f>'Nutritional input'!H68</f>
        <v/>
      </c>
      <c r="L186" s="505">
        <f>IFERROR((_xlfn.XLOOKUP(Table2[[#This Row],[Item]],'Food costs - Input data'!C:C,'Food costs - Input data'!AE:AE)/Table2[[#This Row],[Edible portion]]) / (10*Table2[[#This Row],[Energy (kcal) per 100g edible portion]]),0)</f>
        <v/>
      </c>
      <c r="M186" s="45">
        <f t="array" ref="M186">SUMPRODUCT((Table2[Category]=Table2[[#This Row],[Category]])*(Table2[[#This Row],[Price per calorie]]&gt;Table2[Price per calorie]))+1</f>
        <v/>
      </c>
      <c r="N186" s="45">
        <f>IF(Table2[[#This Row],[Widely available?]]=FALSE,1,0)</f>
        <v/>
      </c>
      <c r="O186" s="45">
        <f>SUMIFS(Table2[Count false],Table2[Category],Table2[[#This Row],[Category]],Table2[Caloric content2],"&lt;"&amp;Table2[[#This Row],[Caloric content2]])</f>
        <v/>
      </c>
      <c r="P186" s="73">
        <f>IF(Table2[[#This Row],[Widely available?]]=TRUE,Table2[[#This Row],[Caloric content2]]-Table2[[#This Row],[subtract]],0)</f>
        <v/>
      </c>
      <c r="Q186" s="22">
        <f>IF(Table2[[#This Row],[Final rank]]&gt;0,Table2[[#This Row],[Category]]&amp;Table2[[#This Row],[Final rank]],"")</f>
        <v/>
      </c>
    </row>
    <row r="187">
      <c r="B187" s="22">
        <f>'Food costs - Input data'!B50</f>
        <v/>
      </c>
      <c r="C187" s="22">
        <f>'Food costs - Input data'!C50</f>
        <v/>
      </c>
      <c r="D187" s="497">
        <f>COUNTA('Food costs - Input data'!D50:AB50)</f>
        <v/>
      </c>
      <c r="E187" s="497">
        <f>_xlfn.MAXIFS(Table2[Availability],Table2[Category],Table2[[#This Row],[Category]])</f>
        <v/>
      </c>
      <c r="F187" s="497">
        <f>Table2[[#This Row],[Availability]] &gt;= 0.25*Table2[[#This Row],[Most availble in category]]</f>
        <v/>
      </c>
      <c r="G187" s="497">
        <f>(Table2[[#This Row],[Protein (g)]] * 4 +Table2[[#This Row],[Fat, total (g)]] * 9 + Table2[[#This Row],[Carbohydrate (g)]] *4 )</f>
        <v/>
      </c>
      <c r="H187" s="45">
        <f>'Nutritional input'!E69</f>
        <v/>
      </c>
      <c r="I187" s="45">
        <f>'Nutritional input'!F69</f>
        <v/>
      </c>
      <c r="J187" s="45">
        <f>'Nutritional input'!G69</f>
        <v/>
      </c>
      <c r="K187" s="45">
        <f>'Nutritional input'!H69</f>
        <v/>
      </c>
      <c r="L187" s="505">
        <f>IFERROR((_xlfn.XLOOKUP(Table2[[#This Row],[Item]],'Food costs - Input data'!C:C,'Food costs - Input data'!AE:AE)/Table2[[#This Row],[Edible portion]]) / (10*Table2[[#This Row],[Energy (kcal) per 100g edible portion]]),0)</f>
        <v/>
      </c>
      <c r="M187" s="45">
        <f t="array" ref="M187">SUMPRODUCT((Table2[Category]=Table2[[#This Row],[Category]])*(Table2[[#This Row],[Price per calorie]]&gt;Table2[Price per calorie]))+1</f>
        <v/>
      </c>
      <c r="N187" s="45">
        <f>IF(Table2[[#This Row],[Widely available?]]=FALSE,1,0)</f>
        <v/>
      </c>
      <c r="O187" s="45">
        <f>SUMIFS(Table2[Count false],Table2[Category],Table2[[#This Row],[Category]],Table2[Caloric content2],"&lt;"&amp;Table2[[#This Row],[Caloric content2]])</f>
        <v/>
      </c>
      <c r="P187" s="73">
        <f>IF(Table2[[#This Row],[Widely available?]]=TRUE,Table2[[#This Row],[Caloric content2]]-Table2[[#This Row],[subtract]],0)</f>
        <v/>
      </c>
      <c r="Q187" s="22">
        <f>IF(Table2[[#This Row],[Final rank]]&gt;0,Table2[[#This Row],[Category]]&amp;Table2[[#This Row],[Final rank]],"")</f>
        <v/>
      </c>
    </row>
    <row r="188">
      <c r="B188" s="22">
        <f>'Food costs - Input data'!B51</f>
        <v/>
      </c>
      <c r="C188" s="22">
        <f>'Food costs - Input data'!C51</f>
        <v/>
      </c>
      <c r="D188" s="497">
        <f>COUNTA('Food costs - Input data'!D51:AB51)</f>
        <v/>
      </c>
      <c r="E188" s="497">
        <f>_xlfn.MAXIFS(Table2[Availability],Table2[Category],Table2[[#This Row],[Category]])</f>
        <v/>
      </c>
      <c r="F188" s="497">
        <f>Table2[[#This Row],[Availability]] &gt;= 0.25*Table2[[#This Row],[Most availble in category]]</f>
        <v/>
      </c>
      <c r="G188" s="497">
        <f>(Table2[[#This Row],[Protein (g)]] * 4 +Table2[[#This Row],[Fat, total (g)]] * 9 + Table2[[#This Row],[Carbohydrate (g)]] *4 )</f>
        <v/>
      </c>
      <c r="H188" s="45">
        <f>'Nutritional input'!E70</f>
        <v/>
      </c>
      <c r="I188" s="45">
        <f>'Nutritional input'!F70</f>
        <v/>
      </c>
      <c r="J188" s="45">
        <f>'Nutritional input'!G70</f>
        <v/>
      </c>
      <c r="K188" s="45">
        <f>'Nutritional input'!H70</f>
        <v/>
      </c>
      <c r="L188" s="505">
        <f>IFERROR((_xlfn.XLOOKUP(Table2[[#This Row],[Item]],'Food costs - Input data'!C:C,'Food costs - Input data'!AE:AE)/Table2[[#This Row],[Edible portion]]) / (10*Table2[[#This Row],[Energy (kcal) per 100g edible portion]]),0)</f>
        <v/>
      </c>
      <c r="M188" s="45">
        <f t="array" ref="M188">SUMPRODUCT((Table2[Category]=Table2[[#This Row],[Category]])*(Table2[[#This Row],[Price per calorie]]&gt;Table2[Price per calorie]))+1</f>
        <v/>
      </c>
      <c r="N188" s="45">
        <f>IF(Table2[[#This Row],[Widely available?]]=FALSE,1,0)</f>
        <v/>
      </c>
      <c r="O188" s="45">
        <f>SUMIFS(Table2[Count false],Table2[Category],Table2[[#This Row],[Category]],Table2[Caloric content2],"&lt;"&amp;Table2[[#This Row],[Caloric content2]])</f>
        <v/>
      </c>
      <c r="P188" s="73">
        <f>IF(Table2[[#This Row],[Widely available?]]=TRUE,Table2[[#This Row],[Caloric content2]]-Table2[[#This Row],[subtract]],0)</f>
        <v/>
      </c>
      <c r="Q188" s="22">
        <f>IF(Table2[[#This Row],[Final rank]]&gt;0,Table2[[#This Row],[Category]]&amp;Table2[[#This Row],[Final rank]],"")</f>
        <v/>
      </c>
    </row>
    <row r="189">
      <c r="B189" s="22">
        <f>'Food costs - Input data'!B52</f>
        <v/>
      </c>
      <c r="C189" s="22">
        <f>'Food costs - Input data'!C52</f>
        <v/>
      </c>
      <c r="D189" s="497">
        <f>COUNTA('Food costs - Input data'!D52:AB52)</f>
        <v/>
      </c>
      <c r="E189" s="497">
        <f>_xlfn.MAXIFS(Table2[Availability],Table2[Category],Table2[[#This Row],[Category]])</f>
        <v/>
      </c>
      <c r="F189" s="497">
        <f>Table2[[#This Row],[Availability]] &gt;= 0.25*Table2[[#This Row],[Most availble in category]]</f>
        <v/>
      </c>
      <c r="G189" s="497">
        <f>(Table2[[#This Row],[Protein (g)]] * 4 +Table2[[#This Row],[Fat, total (g)]] * 9 + Table2[[#This Row],[Carbohydrate (g)]] *4 )</f>
        <v/>
      </c>
      <c r="H189" s="45">
        <f>'Nutritional input'!E71</f>
        <v/>
      </c>
      <c r="I189" s="45">
        <f>'Nutritional input'!F71</f>
        <v/>
      </c>
      <c r="J189" s="45">
        <f>'Nutritional input'!G71</f>
        <v/>
      </c>
      <c r="K189" s="45">
        <f>'Nutritional input'!H71</f>
        <v/>
      </c>
      <c r="L189" s="505">
        <f>IFERROR((_xlfn.XLOOKUP(Table2[[#This Row],[Item]],'Food costs - Input data'!C:C,'Food costs - Input data'!AE:AE)/Table2[[#This Row],[Edible portion]]) / (10*Table2[[#This Row],[Energy (kcal) per 100g edible portion]]),0)</f>
        <v/>
      </c>
      <c r="M189" s="45">
        <f t="array" ref="M189">SUMPRODUCT((Table2[Category]=Table2[[#This Row],[Category]])*(Table2[[#This Row],[Price per calorie]]&gt;Table2[Price per calorie]))+1</f>
        <v/>
      </c>
      <c r="N189" s="45">
        <f>IF(Table2[[#This Row],[Widely available?]]=FALSE,1,0)</f>
        <v/>
      </c>
      <c r="O189" s="45">
        <f>SUMIFS(Table2[Count false],Table2[Category],Table2[[#This Row],[Category]],Table2[Caloric content2],"&lt;"&amp;Table2[[#This Row],[Caloric content2]])</f>
        <v/>
      </c>
      <c r="P189" s="73">
        <f>IF(Table2[[#This Row],[Widely available?]]=TRUE,Table2[[#This Row],[Caloric content2]]-Table2[[#This Row],[subtract]],0)</f>
        <v/>
      </c>
      <c r="Q189" s="22">
        <f>IF(Table2[[#This Row],[Final rank]]&gt;0,Table2[[#This Row],[Category]]&amp;Table2[[#This Row],[Final rank]],"")</f>
        <v/>
      </c>
    </row>
    <row r="190">
      <c r="B190" s="22">
        <f>'Food costs - Input data'!B53</f>
        <v/>
      </c>
      <c r="C190" s="22">
        <f>'Food costs - Input data'!C53</f>
        <v/>
      </c>
      <c r="D190" s="497">
        <f>COUNTA('Food costs - Input data'!D53:AB53)</f>
        <v/>
      </c>
      <c r="E190" s="497">
        <f>_xlfn.MAXIFS(Table2[Availability],Table2[Category],Table2[[#This Row],[Category]])</f>
        <v/>
      </c>
      <c r="F190" s="497">
        <f>Table2[[#This Row],[Availability]] &gt;= 0.25*Table2[[#This Row],[Most availble in category]]</f>
        <v/>
      </c>
      <c r="G190" s="497">
        <f>(Table2[[#This Row],[Protein (g)]] * 4 +Table2[[#This Row],[Fat, total (g)]] * 9 + Table2[[#This Row],[Carbohydrate (g)]] *4 )</f>
        <v/>
      </c>
      <c r="H190" s="45">
        <f>'Nutritional input'!E72</f>
        <v/>
      </c>
      <c r="I190" s="45">
        <f>'Nutritional input'!F72</f>
        <v/>
      </c>
      <c r="J190" s="45">
        <f>'Nutritional input'!G72</f>
        <v/>
      </c>
      <c r="K190" s="45">
        <f>'Nutritional input'!H72</f>
        <v/>
      </c>
      <c r="L190" s="505">
        <f>IFERROR((_xlfn.XLOOKUP(Table2[[#This Row],[Item]],'Food costs - Input data'!C:C,'Food costs - Input data'!AE:AE)/Table2[[#This Row],[Edible portion]]) / (10*Table2[[#This Row],[Energy (kcal) per 100g edible portion]]),0)</f>
        <v/>
      </c>
      <c r="M190" s="45">
        <f t="array" ref="M190">SUMPRODUCT((Table2[Category]=Table2[[#This Row],[Category]])*(Table2[[#This Row],[Price per calorie]]&gt;Table2[Price per calorie]))+1</f>
        <v/>
      </c>
      <c r="N190" s="45">
        <f>IF(Table2[[#This Row],[Widely available?]]=FALSE,1,0)</f>
        <v/>
      </c>
      <c r="O190" s="45">
        <f>SUMIFS(Table2[Count false],Table2[Category],Table2[[#This Row],[Category]],Table2[Caloric content2],"&lt;"&amp;Table2[[#This Row],[Caloric content2]])</f>
        <v/>
      </c>
      <c r="P190" s="73">
        <f>IF(Table2[[#This Row],[Widely available?]]=TRUE,Table2[[#This Row],[Caloric content2]]-Table2[[#This Row],[subtract]],0)</f>
        <v/>
      </c>
      <c r="Q190" s="22">
        <f>IF(Table2[[#This Row],[Final rank]]&gt;0,Table2[[#This Row],[Category]]&amp;Table2[[#This Row],[Final rank]],"")</f>
        <v/>
      </c>
    </row>
    <row r="191">
      <c r="B191" s="22">
        <f>'Food costs - Input data'!B54</f>
        <v/>
      </c>
      <c r="C191" s="22">
        <f>'Food costs - Input data'!C54</f>
        <v/>
      </c>
      <c r="D191" s="497">
        <f>COUNTA('Food costs - Input data'!D54:AB54)</f>
        <v/>
      </c>
      <c r="E191" s="497">
        <f>_xlfn.MAXIFS(Table2[Availability],Table2[Category],Table2[[#This Row],[Category]])</f>
        <v/>
      </c>
      <c r="F191" s="497">
        <f>Table2[[#This Row],[Availability]] &gt;= 0.25*Table2[[#This Row],[Most availble in category]]</f>
        <v/>
      </c>
      <c r="G191" s="497">
        <f>(Table2[[#This Row],[Protein (g)]] * 4 +Table2[[#This Row],[Fat, total (g)]] * 9 + Table2[[#This Row],[Carbohydrate (g)]] *4 )</f>
        <v/>
      </c>
      <c r="H191" s="45">
        <f>'Nutritional input'!E73</f>
        <v/>
      </c>
      <c r="I191" s="45">
        <f>'Nutritional input'!F73</f>
        <v/>
      </c>
      <c r="J191" s="45">
        <f>'Nutritional input'!G73</f>
        <v/>
      </c>
      <c r="K191" s="45">
        <f>'Nutritional input'!H73</f>
        <v/>
      </c>
      <c r="L191" s="505">
        <f>IFERROR((_xlfn.XLOOKUP(Table2[[#This Row],[Item]],'Food costs - Input data'!C:C,'Food costs - Input data'!AE:AE)/Table2[[#This Row],[Edible portion]]) / (10*Table2[[#This Row],[Energy (kcal) per 100g edible portion]]),0)</f>
        <v/>
      </c>
      <c r="M191" s="45">
        <f t="array" ref="M191">SUMPRODUCT((Table2[Category]=Table2[[#This Row],[Category]])*(Table2[[#This Row],[Price per calorie]]&gt;Table2[Price per calorie]))+1</f>
        <v/>
      </c>
      <c r="N191" s="45">
        <f>IF(Table2[[#This Row],[Widely available?]]=FALSE,1,0)</f>
        <v/>
      </c>
      <c r="O191" s="45">
        <f>SUMIFS(Table2[Count false],Table2[Category],Table2[[#This Row],[Category]],Table2[Caloric content2],"&lt;"&amp;Table2[[#This Row],[Caloric content2]])</f>
        <v/>
      </c>
      <c r="P191" s="73">
        <f>IF(Table2[[#This Row],[Widely available?]]=TRUE,Table2[[#This Row],[Caloric content2]]-Table2[[#This Row],[subtract]],0)</f>
        <v/>
      </c>
      <c r="Q191" s="22">
        <f>IF(Table2[[#This Row],[Final rank]]&gt;0,Table2[[#This Row],[Category]]&amp;Table2[[#This Row],[Final rank]],"")</f>
        <v/>
      </c>
    </row>
    <row r="192">
      <c r="B192" s="22">
        <f>'Food costs - Input data'!B55</f>
        <v/>
      </c>
      <c r="C192" s="22">
        <f>'Food costs - Input data'!C55</f>
        <v/>
      </c>
      <c r="D192" s="497">
        <f>COUNTA('Food costs - Input data'!D55:AB55)</f>
        <v/>
      </c>
      <c r="E192" s="497">
        <f>_xlfn.MAXIFS(Table2[Availability],Table2[Category],Table2[[#This Row],[Category]])</f>
        <v/>
      </c>
      <c r="F192" s="497">
        <f>Table2[[#This Row],[Availability]] &gt;= 0.25*Table2[[#This Row],[Most availble in category]]</f>
        <v/>
      </c>
      <c r="G192" s="497">
        <f>(Table2[[#This Row],[Protein (g)]] * 4 +Table2[[#This Row],[Fat, total (g)]] * 9 + Table2[[#This Row],[Carbohydrate (g)]] *4 )</f>
        <v/>
      </c>
      <c r="H192" s="45">
        <f>'Nutritional input'!E74</f>
        <v/>
      </c>
      <c r="I192" s="45">
        <f>'Nutritional input'!F74</f>
        <v/>
      </c>
      <c r="J192" s="45">
        <f>'Nutritional input'!G74</f>
        <v/>
      </c>
      <c r="K192" s="45">
        <f>'Nutritional input'!H74</f>
        <v/>
      </c>
      <c r="L192" s="505">
        <f>IFERROR((_xlfn.XLOOKUP(Table2[[#This Row],[Item]],'Food costs - Input data'!C:C,'Food costs - Input data'!AE:AE)/Table2[[#This Row],[Edible portion]]) / (10*Table2[[#This Row],[Energy (kcal) per 100g edible portion]]),0)</f>
        <v/>
      </c>
      <c r="M192" s="45">
        <f t="array" ref="M192">SUMPRODUCT((Table2[Category]=Table2[[#This Row],[Category]])*(Table2[[#This Row],[Price per calorie]]&gt;Table2[Price per calorie]))+1</f>
        <v/>
      </c>
      <c r="N192" s="45">
        <f>IF(Table2[[#This Row],[Widely available?]]=FALSE,1,0)</f>
        <v/>
      </c>
      <c r="O192" s="45">
        <f>SUMIFS(Table2[Count false],Table2[Category],Table2[[#This Row],[Category]],Table2[Caloric content2],"&lt;"&amp;Table2[[#This Row],[Caloric content2]])</f>
        <v/>
      </c>
      <c r="P192" s="73">
        <f>IF(Table2[[#This Row],[Widely available?]]=TRUE,Table2[[#This Row],[Caloric content2]]-Table2[[#This Row],[subtract]],0)</f>
        <v/>
      </c>
      <c r="Q192" s="22">
        <f>IF(Table2[[#This Row],[Final rank]]&gt;0,Table2[[#This Row],[Category]]&amp;Table2[[#This Row],[Final rank]],"")</f>
        <v/>
      </c>
    </row>
    <row r="193">
      <c r="B193" s="22">
        <f>'Food costs - Input data'!B56</f>
        <v/>
      </c>
      <c r="C193" s="22">
        <f>'Food costs - Input data'!C56</f>
        <v/>
      </c>
      <c r="D193" s="497">
        <f>COUNTA('Food costs - Input data'!D56:AB56)</f>
        <v/>
      </c>
      <c r="E193" s="497">
        <f>_xlfn.MAXIFS(Table2[Availability],Table2[Category],Table2[[#This Row],[Category]])</f>
        <v/>
      </c>
      <c r="F193" s="497">
        <f>Table2[[#This Row],[Availability]] &gt;= 0.25*Table2[[#This Row],[Most availble in category]]</f>
        <v/>
      </c>
      <c r="G193" s="497">
        <f>(Table2[[#This Row],[Protein (g)]] * 4 +Table2[[#This Row],[Fat, total (g)]] * 9 + Table2[[#This Row],[Carbohydrate (g)]] *4 )</f>
        <v/>
      </c>
      <c r="H193" s="45">
        <f>'Nutritional input'!E75</f>
        <v/>
      </c>
      <c r="I193" s="45">
        <f>'Nutritional input'!F75</f>
        <v/>
      </c>
      <c r="J193" s="45">
        <f>'Nutritional input'!G75</f>
        <v/>
      </c>
      <c r="K193" s="45">
        <f>'Nutritional input'!H75</f>
        <v/>
      </c>
      <c r="L193" s="505">
        <f>IFERROR((_xlfn.XLOOKUP(Table2[[#This Row],[Item]],'Food costs - Input data'!C:C,'Food costs - Input data'!AE:AE)/Table2[[#This Row],[Edible portion]]) / (10*Table2[[#This Row],[Energy (kcal) per 100g edible portion]]),0)</f>
        <v/>
      </c>
      <c r="M193" s="45">
        <f t="array" ref="M193">SUMPRODUCT((Table2[Category]=Table2[[#This Row],[Category]])*(Table2[[#This Row],[Price per calorie]]&gt;Table2[Price per calorie]))+1</f>
        <v/>
      </c>
      <c r="N193" s="45">
        <f>IF(Table2[[#This Row],[Widely available?]]=FALSE,1,0)</f>
        <v/>
      </c>
      <c r="O193" s="45">
        <f>SUMIFS(Table2[Count false],Table2[Category],Table2[[#This Row],[Category]],Table2[Caloric content2],"&lt;"&amp;Table2[[#This Row],[Caloric content2]])</f>
        <v/>
      </c>
      <c r="P193" s="73">
        <f>IF(Table2[[#This Row],[Widely available?]]=TRUE,Table2[[#This Row],[Caloric content2]]-Table2[[#This Row],[subtract]],0)</f>
        <v/>
      </c>
      <c r="Q193" s="22">
        <f>IF(Table2[[#This Row],[Final rank]]&gt;0,Table2[[#This Row],[Category]]&amp;Table2[[#This Row],[Final rank]],"")</f>
        <v/>
      </c>
    </row>
    <row r="194">
      <c r="B194" s="22">
        <f>'Food costs - Input data'!B57</f>
        <v/>
      </c>
      <c r="C194" s="22">
        <f>'Food costs - Input data'!C57</f>
        <v/>
      </c>
      <c r="D194" s="497">
        <f>COUNTA('Food costs - Input data'!D57:AB57)</f>
        <v/>
      </c>
      <c r="E194" s="497">
        <f>_xlfn.MAXIFS(Table2[Availability],Table2[Category],Table2[[#This Row],[Category]])</f>
        <v/>
      </c>
      <c r="F194" s="497">
        <f>Table2[[#This Row],[Availability]] &gt;= 0.25*Table2[[#This Row],[Most availble in category]]</f>
        <v/>
      </c>
      <c r="G194" s="497">
        <f>(Table2[[#This Row],[Protein (g)]] * 4 +Table2[[#This Row],[Fat, total (g)]] * 9 + Table2[[#This Row],[Carbohydrate (g)]] *4 )</f>
        <v/>
      </c>
      <c r="H194" s="45">
        <f>'Nutritional input'!E76</f>
        <v/>
      </c>
      <c r="I194" s="45">
        <f>'Nutritional input'!F76</f>
        <v/>
      </c>
      <c r="J194" s="45">
        <f>'Nutritional input'!G76</f>
        <v/>
      </c>
      <c r="K194" s="45">
        <f>'Nutritional input'!H76</f>
        <v/>
      </c>
      <c r="L194" s="505">
        <f>IFERROR((_xlfn.XLOOKUP(Table2[[#This Row],[Item]],'Food costs - Input data'!C:C,'Food costs - Input data'!AE:AE)/Table2[[#This Row],[Edible portion]]) / (10*Table2[[#This Row],[Energy (kcal) per 100g edible portion]]),0)</f>
        <v/>
      </c>
      <c r="M194" s="45">
        <f t="array" ref="M194">SUMPRODUCT((Table2[Category]=Table2[[#This Row],[Category]])*(Table2[[#This Row],[Price per calorie]]&gt;Table2[Price per calorie]))+1</f>
        <v/>
      </c>
      <c r="N194" s="45">
        <f>IF(Table2[[#This Row],[Widely available?]]=FALSE,1,0)</f>
        <v/>
      </c>
      <c r="O194" s="45">
        <f>SUMIFS(Table2[Count false],Table2[Category],Table2[[#This Row],[Category]],Table2[Caloric content2],"&lt;"&amp;Table2[[#This Row],[Caloric content2]])</f>
        <v/>
      </c>
      <c r="P194" s="73">
        <f>IF(Table2[[#This Row],[Widely available?]]=TRUE,Table2[[#This Row],[Caloric content2]]-Table2[[#This Row],[subtract]],0)</f>
        <v/>
      </c>
      <c r="Q194" s="22">
        <f>IF(Table2[[#This Row],[Final rank]]&gt;0,Table2[[#This Row],[Category]]&amp;Table2[[#This Row],[Final rank]],"")</f>
        <v/>
      </c>
    </row>
    <row r="195">
      <c r="B195" s="22">
        <f>'Food costs - Input data'!B58</f>
        <v/>
      </c>
      <c r="C195" s="22">
        <f>'Food costs - Input data'!C58</f>
        <v/>
      </c>
      <c r="D195" s="497">
        <f>COUNTA('Food costs - Input data'!D58:AB58)</f>
        <v/>
      </c>
      <c r="E195" s="497">
        <f>_xlfn.MAXIFS(Table2[Availability],Table2[Category],Table2[[#This Row],[Category]])</f>
        <v/>
      </c>
      <c r="F195" s="497">
        <f>Table2[[#This Row],[Availability]] &gt;= 0.25*Table2[[#This Row],[Most availble in category]]</f>
        <v/>
      </c>
      <c r="G195" s="497">
        <f>(Table2[[#This Row],[Protein (g)]] * 4 +Table2[[#This Row],[Fat, total (g)]] * 9 + Table2[[#This Row],[Carbohydrate (g)]] *4 )</f>
        <v/>
      </c>
      <c r="H195" s="45">
        <f>'Nutritional input'!E77</f>
        <v/>
      </c>
      <c r="I195" s="45">
        <f>'Nutritional input'!F77</f>
        <v/>
      </c>
      <c r="J195" s="45">
        <f>'Nutritional input'!G77</f>
        <v/>
      </c>
      <c r="K195" s="45">
        <f>'Nutritional input'!H77</f>
        <v/>
      </c>
      <c r="L195" s="505">
        <f>IFERROR((_xlfn.XLOOKUP(Table2[[#This Row],[Item]],'Food costs - Input data'!C:C,'Food costs - Input data'!AE:AE)/Table2[[#This Row],[Edible portion]]) / (10*Table2[[#This Row],[Energy (kcal) per 100g edible portion]]),0)</f>
        <v/>
      </c>
      <c r="M195" s="45">
        <f t="array" ref="M195">SUMPRODUCT((Table2[Category]=Table2[[#This Row],[Category]])*(Table2[[#This Row],[Price per calorie]]&gt;Table2[Price per calorie]))+1</f>
        <v/>
      </c>
      <c r="N195" s="45">
        <f>IF(Table2[[#This Row],[Widely available?]]=FALSE,1,0)</f>
        <v/>
      </c>
      <c r="O195" s="45">
        <f>SUMIFS(Table2[Count false],Table2[Category],Table2[[#This Row],[Category]],Table2[Caloric content2],"&lt;"&amp;Table2[[#This Row],[Caloric content2]])</f>
        <v/>
      </c>
      <c r="P195" s="73">
        <f>IF(Table2[[#This Row],[Widely available?]]=TRUE,Table2[[#This Row],[Caloric content2]]-Table2[[#This Row],[subtract]],0)</f>
        <v/>
      </c>
      <c r="Q195" s="22">
        <f>IF(Table2[[#This Row],[Final rank]]&gt;0,Table2[[#This Row],[Category]]&amp;Table2[[#This Row],[Final rank]],"")</f>
        <v/>
      </c>
    </row>
    <row r="196">
      <c r="B196" s="22">
        <f>'Food costs - Input data'!B59</f>
        <v/>
      </c>
      <c r="C196" s="22">
        <f>'Food costs - Input data'!C59</f>
        <v/>
      </c>
      <c r="D196" s="497">
        <f>COUNTA('Food costs - Input data'!D59:AB59)</f>
        <v/>
      </c>
      <c r="E196" s="497">
        <f>_xlfn.MAXIFS(Table2[Availability],Table2[Category],Table2[[#This Row],[Category]])</f>
        <v/>
      </c>
      <c r="F196" s="497">
        <f>Table2[[#This Row],[Availability]] &gt;= 0.25*Table2[[#This Row],[Most availble in category]]</f>
        <v/>
      </c>
      <c r="G196" s="497">
        <f>(Table2[[#This Row],[Protein (g)]] * 4 +Table2[[#This Row],[Fat, total (g)]] * 9 + Table2[[#This Row],[Carbohydrate (g)]] *4 )</f>
        <v/>
      </c>
      <c r="H196" s="45">
        <f>'Nutritional input'!E78</f>
        <v/>
      </c>
      <c r="I196" s="45">
        <f>'Nutritional input'!F78</f>
        <v/>
      </c>
      <c r="J196" s="45">
        <f>'Nutritional input'!G78</f>
        <v/>
      </c>
      <c r="K196" s="45">
        <f>'Nutritional input'!H78</f>
        <v/>
      </c>
      <c r="L196" s="505">
        <f>IFERROR((_xlfn.XLOOKUP(Table2[[#This Row],[Item]],'Food costs - Input data'!C:C,'Food costs - Input data'!AE:AE)/Table2[[#This Row],[Edible portion]]) / (10*Table2[[#This Row],[Energy (kcal) per 100g edible portion]]),0)</f>
        <v/>
      </c>
      <c r="M196" s="45">
        <f t="array" ref="M196">SUMPRODUCT((Table2[Category]=Table2[[#This Row],[Category]])*(Table2[[#This Row],[Price per calorie]]&gt;Table2[Price per calorie]))+1</f>
        <v/>
      </c>
      <c r="N196" s="45">
        <f>IF(Table2[[#This Row],[Widely available?]]=FALSE,1,0)</f>
        <v/>
      </c>
      <c r="O196" s="45">
        <f>SUMIFS(Table2[Count false],Table2[Category],Table2[[#This Row],[Category]],Table2[Caloric content2],"&lt;"&amp;Table2[[#This Row],[Caloric content2]])</f>
        <v/>
      </c>
      <c r="P196" s="73">
        <f>IF(Table2[[#This Row],[Widely available?]]=TRUE,Table2[[#This Row],[Caloric content2]]-Table2[[#This Row],[subtract]],0)</f>
        <v/>
      </c>
      <c r="Q196" s="22">
        <f>IF(Table2[[#This Row],[Final rank]]&gt;0,Table2[[#This Row],[Category]]&amp;Table2[[#This Row],[Final rank]],"")</f>
        <v/>
      </c>
    </row>
    <row r="197">
      <c r="B197" s="22">
        <f>'Food costs - Input data'!B60</f>
        <v/>
      </c>
      <c r="C197" s="22">
        <f>'Food costs - Input data'!C60</f>
        <v/>
      </c>
      <c r="D197" s="497">
        <f>COUNTA('Food costs - Input data'!D60:AB60)</f>
        <v/>
      </c>
      <c r="E197" s="497">
        <f>_xlfn.MAXIFS(Table2[Availability],Table2[Category],Table2[[#This Row],[Category]])</f>
        <v/>
      </c>
      <c r="F197" s="497">
        <f>Table2[[#This Row],[Availability]] &gt;= 0.25*Table2[[#This Row],[Most availble in category]]</f>
        <v/>
      </c>
      <c r="G197" s="497">
        <f>(Table2[[#This Row],[Protein (g)]] * 4 +Table2[[#This Row],[Fat, total (g)]] * 9 + Table2[[#This Row],[Carbohydrate (g)]] *4 )</f>
        <v/>
      </c>
      <c r="H197" s="45">
        <f>'Nutritional input'!E79</f>
        <v/>
      </c>
      <c r="I197" s="45">
        <f>'Nutritional input'!F79</f>
        <v/>
      </c>
      <c r="J197" s="45">
        <f>'Nutritional input'!G79</f>
        <v/>
      </c>
      <c r="K197" s="45">
        <f>'Nutritional input'!H79</f>
        <v/>
      </c>
      <c r="L197" s="505">
        <f>IFERROR((_xlfn.XLOOKUP(Table2[[#This Row],[Item]],'Food costs - Input data'!C:C,'Food costs - Input data'!AE:AE)/Table2[[#This Row],[Edible portion]]) / (10*Table2[[#This Row],[Energy (kcal) per 100g edible portion]]),0)</f>
        <v/>
      </c>
      <c r="M197" s="45">
        <f t="array" ref="M197">SUMPRODUCT((Table2[Category]=Table2[[#This Row],[Category]])*(Table2[[#This Row],[Price per calorie]]&gt;Table2[Price per calorie]))+1</f>
        <v/>
      </c>
      <c r="N197" s="45">
        <f>IF(Table2[[#This Row],[Widely available?]]=FALSE,1,0)</f>
        <v/>
      </c>
      <c r="O197" s="45">
        <f>SUMIFS(Table2[Count false],Table2[Category],Table2[[#This Row],[Category]],Table2[Caloric content2],"&lt;"&amp;Table2[[#This Row],[Caloric content2]])</f>
        <v/>
      </c>
      <c r="P197" s="73">
        <f>IF(Table2[[#This Row],[Widely available?]]=TRUE,Table2[[#This Row],[Caloric content2]]-Table2[[#This Row],[subtract]],0)</f>
        <v/>
      </c>
      <c r="Q197" s="22">
        <f>IF(Table2[[#This Row],[Final rank]]&gt;0,Table2[[#This Row],[Category]]&amp;Table2[[#This Row],[Final rank]],"")</f>
        <v/>
      </c>
    </row>
    <row r="198">
      <c r="B198" s="22">
        <f>'Food costs - Input data'!B61</f>
        <v/>
      </c>
      <c r="C198" s="22">
        <f>'Food costs - Input data'!C61</f>
        <v/>
      </c>
      <c r="D198" s="497">
        <f>COUNTA('Food costs - Input data'!D61:AB61)</f>
        <v/>
      </c>
      <c r="E198" s="497">
        <f>_xlfn.MAXIFS(Table2[Availability],Table2[Category],Table2[[#This Row],[Category]])</f>
        <v/>
      </c>
      <c r="F198" s="497">
        <f>Table2[[#This Row],[Availability]] &gt;= 0.25*Table2[[#This Row],[Most availble in category]]</f>
        <v/>
      </c>
      <c r="G198" s="497">
        <f>(Table2[[#This Row],[Protein (g)]] * 4 +Table2[[#This Row],[Fat, total (g)]] * 9 + Table2[[#This Row],[Carbohydrate (g)]] *4 )</f>
        <v/>
      </c>
      <c r="H198" s="45">
        <f>'Nutritional input'!E80</f>
        <v/>
      </c>
      <c r="I198" s="45">
        <f>'Nutritional input'!F80</f>
        <v/>
      </c>
      <c r="J198" s="45">
        <f>'Nutritional input'!G80</f>
        <v/>
      </c>
      <c r="K198" s="45">
        <f>'Nutritional input'!H80</f>
        <v/>
      </c>
      <c r="L198" s="505">
        <f>IFERROR((_xlfn.XLOOKUP(Table2[[#This Row],[Item]],'Food costs - Input data'!C:C,'Food costs - Input data'!AE:AE)/Table2[[#This Row],[Edible portion]]) / (10*Table2[[#This Row],[Energy (kcal) per 100g edible portion]]),0)</f>
        <v/>
      </c>
      <c r="M198" s="45">
        <f t="array" ref="M198">SUMPRODUCT((Table2[Category]=Table2[[#This Row],[Category]])*(Table2[[#This Row],[Price per calorie]]&gt;Table2[Price per calorie]))+1</f>
        <v/>
      </c>
      <c r="N198" s="45">
        <f>IF(Table2[[#This Row],[Widely available?]]=FALSE,1,0)</f>
        <v/>
      </c>
      <c r="O198" s="45">
        <f>SUMIFS(Table2[Count false],Table2[Category],Table2[[#This Row],[Category]],Table2[Caloric content2],"&lt;"&amp;Table2[[#This Row],[Caloric content2]])</f>
        <v/>
      </c>
      <c r="P198" s="73">
        <f>IF(Table2[[#This Row],[Widely available?]]=TRUE,Table2[[#This Row],[Caloric content2]]-Table2[[#This Row],[subtract]],0)</f>
        <v/>
      </c>
      <c r="Q198" s="22">
        <f>IF(Table2[[#This Row],[Final rank]]&gt;0,Table2[[#This Row],[Category]]&amp;Table2[[#This Row],[Final rank]],"")</f>
        <v/>
      </c>
    </row>
    <row r="199">
      <c r="B199" s="22">
        <f>'Food costs - Input data'!B62</f>
        <v/>
      </c>
      <c r="C199" s="22">
        <f>'Food costs - Input data'!C62</f>
        <v/>
      </c>
      <c r="D199" s="497">
        <f>COUNTA('Food costs - Input data'!D62:AB62)</f>
        <v/>
      </c>
      <c r="E199" s="497">
        <f>_xlfn.MAXIFS(Table2[Availability],Table2[Category],Table2[[#This Row],[Category]])</f>
        <v/>
      </c>
      <c r="F199" s="497">
        <f>Table2[[#This Row],[Availability]] &gt;= 0.25*Table2[[#This Row],[Most availble in category]]</f>
        <v/>
      </c>
      <c r="G199" s="497">
        <f>(Table2[[#This Row],[Protein (g)]] * 4 +Table2[[#This Row],[Fat, total (g)]] * 9 + Table2[[#This Row],[Carbohydrate (g)]] *4 )</f>
        <v/>
      </c>
      <c r="H199" s="45">
        <f>'Nutritional input'!E81</f>
        <v/>
      </c>
      <c r="I199" s="45">
        <f>'Nutritional input'!F81</f>
        <v/>
      </c>
      <c r="J199" s="45">
        <f>'Nutritional input'!G81</f>
        <v/>
      </c>
      <c r="K199" s="45">
        <f>'Nutritional input'!H81</f>
        <v/>
      </c>
      <c r="L199" s="505">
        <f>IFERROR((_xlfn.XLOOKUP(Table2[[#This Row],[Item]],'Food costs - Input data'!C:C,'Food costs - Input data'!AE:AE)/Table2[[#This Row],[Edible portion]]) / (10*Table2[[#This Row],[Energy (kcal) per 100g edible portion]]),0)</f>
        <v/>
      </c>
      <c r="M199" s="45">
        <f t="array" ref="M199">SUMPRODUCT((Table2[Category]=Table2[[#This Row],[Category]])*(Table2[[#This Row],[Price per calorie]]&gt;Table2[Price per calorie]))+1</f>
        <v/>
      </c>
      <c r="N199" s="45">
        <f>IF(Table2[[#This Row],[Widely available?]]=FALSE,1,0)</f>
        <v/>
      </c>
      <c r="O199" s="45">
        <f>SUMIFS(Table2[Count false],Table2[Category],Table2[[#This Row],[Category]],Table2[Caloric content2],"&lt;"&amp;Table2[[#This Row],[Caloric content2]])</f>
        <v/>
      </c>
      <c r="P199" s="73">
        <f>IF(Table2[[#This Row],[Widely available?]]=TRUE,Table2[[#This Row],[Caloric content2]]-Table2[[#This Row],[subtract]],0)</f>
        <v/>
      </c>
      <c r="Q199" s="22">
        <f>IF(Table2[[#This Row],[Final rank]]&gt;0,Table2[[#This Row],[Category]]&amp;Table2[[#This Row],[Final rank]],"")</f>
        <v/>
      </c>
    </row>
    <row r="200">
      <c r="B200" s="22">
        <f>'Food costs - Input data'!B63</f>
        <v/>
      </c>
      <c r="C200" s="22">
        <f>'Food costs - Input data'!C63</f>
        <v/>
      </c>
      <c r="D200" s="497">
        <f>COUNTA('Food costs - Input data'!D63:AB63)</f>
        <v/>
      </c>
      <c r="E200" s="497">
        <f>_xlfn.MAXIFS(Table2[Availability],Table2[Category],Table2[[#This Row],[Category]])</f>
        <v/>
      </c>
      <c r="F200" s="497">
        <f>Table2[[#This Row],[Availability]] &gt;= 0.25*Table2[[#This Row],[Most availble in category]]</f>
        <v/>
      </c>
      <c r="G200" s="497">
        <f>(Table2[[#This Row],[Protein (g)]] * 4 +Table2[[#This Row],[Fat, total (g)]] * 9 + Table2[[#This Row],[Carbohydrate (g)]] *4 )</f>
        <v/>
      </c>
      <c r="H200" s="45">
        <f>'Nutritional input'!E82</f>
        <v/>
      </c>
      <c r="I200" s="45">
        <f>'Nutritional input'!F82</f>
        <v/>
      </c>
      <c r="J200" s="45">
        <f>'Nutritional input'!G82</f>
        <v/>
      </c>
      <c r="K200" s="45">
        <f>'Nutritional input'!H82</f>
        <v/>
      </c>
      <c r="L200" s="505">
        <f>IFERROR((_xlfn.XLOOKUP(Table2[[#This Row],[Item]],'Food costs - Input data'!C:C,'Food costs - Input data'!AE:AE)/Table2[[#This Row],[Edible portion]]) / (10*Table2[[#This Row],[Energy (kcal) per 100g edible portion]]),0)</f>
        <v/>
      </c>
      <c r="M200" s="45">
        <f t="array" ref="M200">SUMPRODUCT((Table2[Category]=Table2[[#This Row],[Category]])*(Table2[[#This Row],[Price per calorie]]&gt;Table2[Price per calorie]))+1</f>
        <v/>
      </c>
      <c r="N200" s="45">
        <f>IF(Table2[[#This Row],[Widely available?]]=FALSE,1,0)</f>
        <v/>
      </c>
      <c r="O200" s="45">
        <f>SUMIFS(Table2[Count false],Table2[Category],Table2[[#This Row],[Category]],Table2[Caloric content2],"&lt;"&amp;Table2[[#This Row],[Caloric content2]])</f>
        <v/>
      </c>
      <c r="P200" s="73">
        <f>IF(Table2[[#This Row],[Widely available?]]=TRUE,Table2[[#This Row],[Caloric content2]]-Table2[[#This Row],[subtract]],0)</f>
        <v/>
      </c>
      <c r="Q200" s="22">
        <f>IF(Table2[[#This Row],[Final rank]]&gt;0,Table2[[#This Row],[Category]]&amp;Table2[[#This Row],[Final rank]],"")</f>
        <v/>
      </c>
    </row>
    <row r="201">
      <c r="B201" s="60" t="inlineStr">
        <is>
          <t>LIST - Food item selection</t>
        </is>
      </c>
    </row>
    <row r="202">
      <c r="B202" s="22" t="inlineStr">
        <is>
          <t>Option 1</t>
        </is>
      </c>
      <c r="C202" s="22" t="n">
        <v>1</v>
      </c>
    </row>
    <row r="203">
      <c r="B203" s="22" t="inlineStr">
        <is>
          <t>Option 2</t>
        </is>
      </c>
      <c r="C203" s="22" t="n">
        <v>2</v>
      </c>
    </row>
    <row r="204">
      <c r="B204" s="22" t="inlineStr">
        <is>
          <t>Option 3</t>
        </is>
      </c>
      <c r="C204" s="22" t="n">
        <v>3</v>
      </c>
    </row>
    <row r="205">
      <c r="B205" s="22" t="inlineStr">
        <is>
          <t>Option 4</t>
        </is>
      </c>
      <c r="C205" s="22" t="n">
        <v>4</v>
      </c>
    </row>
    <row r="206">
      <c r="B206" s="22" t="inlineStr">
        <is>
          <t>Option 5</t>
        </is>
      </c>
      <c r="C206" s="22" t="n">
        <v>5</v>
      </c>
    </row>
    <row r="209">
      <c r="B209" s="28" t="inlineStr">
        <is>
          <t>1C) Calculating quantities for selected model diet (based on food ranking / item selection )</t>
        </is>
      </c>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row>
    <row r="211" ht="19" customHeight="1">
      <c r="B211" s="74" t="inlineStr">
        <is>
          <t>Food consumption calculation</t>
        </is>
      </c>
    </row>
    <row r="212">
      <c r="H212" s="22" t="inlineStr">
        <is>
          <t>ITERATION 1 (using minimum values)</t>
        </is>
      </c>
      <c r="P212" s="22" t="inlineStr">
        <is>
          <t>ITERATION 2</t>
        </is>
      </c>
      <c r="W212" s="22" t="inlineStr">
        <is>
          <t>ITERATION 3</t>
        </is>
      </c>
      <c r="AB212" s="22" t="inlineStr">
        <is>
          <t>FINAL</t>
        </is>
      </c>
    </row>
    <row r="213">
      <c r="K213" s="75" t="inlineStr">
        <is>
          <t>Remaning Calories</t>
        </is>
      </c>
      <c r="L213" s="506">
        <f>IF('3. Food costs'!D35-H235 &lt; 0, 0, '3. Food costs'!D35-H235)</f>
        <v/>
      </c>
      <c r="R213" s="75" t="inlineStr">
        <is>
          <t>Remaning Calories</t>
        </is>
      </c>
      <c r="S213" s="506">
        <f>IF('3. Food costs'!D35-O235&lt;0,0,'3. Food costs'!D35-O235)</f>
        <v/>
      </c>
      <c r="X213" s="75" t="inlineStr">
        <is>
          <t>Remaning Calories</t>
        </is>
      </c>
      <c r="Y213" s="507">
        <f>IF('3. Food costs'!D35-V235&lt;0,0,'3. Food costs'!D35-V235)</f>
        <v/>
      </c>
    </row>
    <row r="214">
      <c r="F214" s="442" t="inlineStr">
        <is>
          <t>Grams edible portion</t>
        </is>
      </c>
      <c r="G214" s="22" t="n"/>
    </row>
    <row r="215">
      <c r="B215" s="60">
        <f>'Nutritional input'!C111</f>
        <v/>
      </c>
      <c r="C215" s="60">
        <f>'Nutritional input'!D111</f>
        <v/>
      </c>
      <c r="D215" s="22" t="inlineStr">
        <is>
          <t>Option</t>
        </is>
      </c>
      <c r="E215" s="60" t="inlineStr">
        <is>
          <t>Price per calorie</t>
        </is>
      </c>
      <c r="F215" s="78" t="inlineStr">
        <is>
          <t>Min Dietary Req.</t>
        </is>
      </c>
      <c r="G215" s="78" t="inlineStr">
        <is>
          <t>Max Allowed</t>
        </is>
      </c>
      <c r="H215" s="78" t="inlineStr">
        <is>
          <t>Calories</t>
        </is>
      </c>
      <c r="I215" s="60" t="inlineStr">
        <is>
          <t>items i1</t>
        </is>
      </c>
      <c r="J215" s="60" t="inlineStr">
        <is>
          <t>rank</t>
        </is>
      </c>
      <c r="K215" s="60" t="inlineStr">
        <is>
          <t>dist</t>
        </is>
      </c>
      <c r="L215" s="60" t="inlineStr">
        <is>
          <t>amt (cal)</t>
        </is>
      </c>
      <c r="M215" s="60" t="inlineStr">
        <is>
          <t>extra (g)</t>
        </is>
      </c>
      <c r="N215" s="37" t="inlineStr">
        <is>
          <t>Total (g) i1</t>
        </is>
      </c>
      <c r="O215" s="37" t="inlineStr">
        <is>
          <t>Total (cal) i1</t>
        </is>
      </c>
      <c r="P215" s="60" t="inlineStr">
        <is>
          <t>items i2</t>
        </is>
      </c>
      <c r="Q215" s="60" t="inlineStr">
        <is>
          <t>rank2</t>
        </is>
      </c>
      <c r="R215" s="79" t="inlineStr">
        <is>
          <t>dist2</t>
        </is>
      </c>
      <c r="S215" s="60" t="inlineStr">
        <is>
          <t>amt2</t>
        </is>
      </c>
      <c r="T215" s="60" t="inlineStr">
        <is>
          <t>extra2</t>
        </is>
      </c>
      <c r="U215" s="60" t="inlineStr">
        <is>
          <t>Total (g) i2</t>
        </is>
      </c>
      <c r="V215" s="60" t="inlineStr">
        <is>
          <t>Total (cal) i2</t>
        </is>
      </c>
      <c r="W215" s="22" t="inlineStr">
        <is>
          <t>items i3</t>
        </is>
      </c>
      <c r="X215" s="22" t="inlineStr">
        <is>
          <t>rank 3</t>
        </is>
      </c>
      <c r="Y215" s="22" t="inlineStr">
        <is>
          <t>dist 3</t>
        </is>
      </c>
      <c r="Z215" s="22" t="inlineStr">
        <is>
          <t>amt3</t>
        </is>
      </c>
      <c r="AA215" s="22" t="inlineStr">
        <is>
          <t>extra3</t>
        </is>
      </c>
      <c r="AB215" s="60" t="inlineStr">
        <is>
          <t>Final (g)</t>
        </is>
      </c>
      <c r="AC215" s="22" t="inlineStr">
        <is>
          <t>Calories</t>
        </is>
      </c>
      <c r="AD215" s="22" t="inlineStr">
        <is>
          <t>Carbs</t>
        </is>
      </c>
      <c r="AE215" s="22" t="inlineStr">
        <is>
          <t>Proteins</t>
        </is>
      </c>
      <c r="AF215" s="22" t="inlineStr">
        <is>
          <t>Fats</t>
        </is>
      </c>
    </row>
    <row r="216">
      <c r="A216" s="22">
        <f>COUNTIFS($B$216:B216,B216)</f>
        <v/>
      </c>
      <c r="B216" s="22">
        <f>'Nutritional input'!C112</f>
        <v/>
      </c>
      <c r="C216" s="22">
        <f>'Nutritional input'!D112</f>
        <v/>
      </c>
      <c r="D216" s="45">
        <f>IF(ISBLANK('Nutritional input'!E112),A216,VLOOKUP('Nutritional input'!E112,'Background calculations'!$B$202:$C$206,2,FALSE))</f>
        <v/>
      </c>
      <c r="E216" s="80">
        <f>_xlfn.XLOOKUP('3. Food costs'!C49,Table2[Item],Table2[Price per calorie],0)</f>
        <v/>
      </c>
      <c r="F216" s="80">
        <f>'Nutritional input'!F112</f>
        <v/>
      </c>
      <c r="G216" s="80">
        <f>'Nutritional input'!G112</f>
        <v/>
      </c>
      <c r="H216" s="80">
        <f>F216*_xlfn.XLOOKUP('3. Food costs'!C49,Table2[Item],Table2[Energy (kcal) per 100g edible portion],0) / 100</f>
        <v/>
      </c>
      <c r="I216" s="80">
        <f>IF(AND(E216&lt;&gt;0,OR(F216&lt;G216,G216=0,)), E216,"")</f>
        <v/>
      </c>
      <c r="J216" s="80">
        <f>IFERROR(_xlfn.RANK.EQ(I216,$I$216:$I$234,1),0)</f>
        <v/>
      </c>
      <c r="K216" s="508">
        <f>IF(J216&lt;&gt;0,(MAX($J$216:$J$234)-(J216 - 1))/$J$235,0)</f>
        <v/>
      </c>
      <c r="L216" s="81">
        <f>IF($L$213&lt;0,0,K216*$L$213)</f>
        <v/>
      </c>
      <c r="M216" s="80">
        <f>IFERROR(IF(AND(G216 &lt;&gt; 0,L216 / _xlfn.XLOOKUP('3. Food costs'!C49,Table2[Item],Table2[Energy (kcal) per 100g edible portion],0) * 100 &gt;G216 - F216),IF(G216-F216&lt;0,0,G216-F216), L216 / _xlfn.XLOOKUP('3. Food costs'!C49,Table2[Item],Table2[Energy (kcal) per 100g edible portion],0) * 100),0)</f>
        <v/>
      </c>
      <c r="N216" s="80">
        <f>M216+F216</f>
        <v/>
      </c>
      <c r="O216" s="80">
        <f>N216*_xlfn.XLOOKUP('3. Food costs'!C49,Table2[Item],Table2[Energy (kcal) per 100g edible portion],0) / 100</f>
        <v/>
      </c>
      <c r="P216" s="80">
        <f>IF(AND(E216&lt;&gt;0,OR(N216&lt;G216,G216=0)),I216,"")</f>
        <v/>
      </c>
      <c r="Q216" s="80">
        <f>IFERROR(_xlfn.RANK.EQ(P216,$P$216:$P$234,1),0)</f>
        <v/>
      </c>
      <c r="R216" s="80">
        <f>IF(Q216&lt;&gt;0,(MAX($Q$216:$Q$234)-(Q216 - 1))/$Q$235,0)</f>
        <v/>
      </c>
      <c r="S216" s="80">
        <f>R216*$S$213</f>
        <v/>
      </c>
      <c r="T216" s="80">
        <f>IFERROR(IF(AND(G216&lt;&gt; 0, (S216)/ _xlfn.XLOOKUP('3. Food costs'!C49,Table2[Item],Table2[Energy (kcal) per 100g edible portion],0) * 100 &gt;G216 - N216),IF(G216-N216&lt;0,0,G216-N216), (S216)/ _xlfn.XLOOKUP('3. Food costs'!C49,Table2[Item],Table2[Energy (kcal) per 100g edible portion],0) * 100),0)</f>
        <v/>
      </c>
      <c r="U216" s="80">
        <f>T216 + N216</f>
        <v/>
      </c>
      <c r="V216" s="80">
        <f>U216*_xlfn.XLOOKUP('3. Food costs'!C49,Table2[Item],Table2[Energy (kcal) per 100g edible portion],0) / 100</f>
        <v/>
      </c>
      <c r="W216" s="80">
        <f>IF(AND(E216&lt;&gt;0,OR(U216&lt;G216,G216=0)),I216,"")</f>
        <v/>
      </c>
      <c r="X216" s="80">
        <f>IFERROR(_xlfn.RANK.EQ(W216,$W$216:$W$234,1),0)</f>
        <v/>
      </c>
      <c r="Y216" s="80">
        <f>IF(X216&lt;&gt;0,(MAX($X$216:$X$234)-(X216 - 1))/$W$235,0)</f>
        <v/>
      </c>
      <c r="Z216" s="80">
        <f>Y216 *$Y$213</f>
        <v/>
      </c>
      <c r="AA216" s="80">
        <f>IFERROR(IF(AND(G216 &lt;&gt;0, Z216 / _xlfn.XLOOKUP('3. Food costs'!C49,Table2[Item],Table2[Energy (kcal) per 100g edible portion],0) * 100 &gt;G216 - U216),IF(G216-U216&lt;0,0,G216-U216), Z216 / _xlfn.XLOOKUP('3. Food costs'!C49,Table2[Item],Table2[Energy (kcal) per 100g edible portion],0) * 100),0)</f>
        <v/>
      </c>
      <c r="AB216" s="82">
        <f>AA216 + U216</f>
        <v/>
      </c>
      <c r="AC216" s="73">
        <f>AB216*_xlfn.XLOOKUP(C216,Table2[Item],Table2[Energy (kcal) per 100g edible portion],0) / 100</f>
        <v/>
      </c>
      <c r="AD216" s="80">
        <f>AB216*_xlfn.XLOOKUP(C216,Table2[Item],Table2[Carbohydrate (g)],0) / 100</f>
        <v/>
      </c>
      <c r="AE216" s="80">
        <f>AB216*_xlfn.XLOOKUP(C216,Table2[Item],Table2[Protein (g)],0) / 100</f>
        <v/>
      </c>
      <c r="AF216" s="80">
        <f>AB216*_xlfn.XLOOKUP(C216,Table2[Item],Table2[Fat, total (g)],0) / 100</f>
        <v/>
      </c>
    </row>
    <row r="217">
      <c r="A217" s="22">
        <f>COUNTIFS($B$216:B217,B217)</f>
        <v/>
      </c>
      <c r="B217" s="22">
        <f>'Nutritional input'!C113</f>
        <v/>
      </c>
      <c r="C217" s="22">
        <f>'Nutritional input'!D113</f>
        <v/>
      </c>
      <c r="D217" s="45">
        <f>IF(ISBLANK('Nutritional input'!E113),A217,VLOOKUP('Nutritional input'!E113,'Background calculations'!$B$202:$C$206,2,FALSE))</f>
        <v/>
      </c>
      <c r="E217" s="80">
        <f>_xlfn.XLOOKUP('3. Food costs'!C50,Table2[Item],Table2[Price per calorie],0)</f>
        <v/>
      </c>
      <c r="F217" s="80">
        <f>'Nutritional input'!F113</f>
        <v/>
      </c>
      <c r="G217" s="80">
        <f>'Nutritional input'!G113</f>
        <v/>
      </c>
      <c r="H217" s="80">
        <f>F217*_xlfn.XLOOKUP('3. Food costs'!C50,Table2[Item],Table2[Energy (kcal) per 100g edible portion],0) / 100</f>
        <v/>
      </c>
      <c r="I217" s="80">
        <f>IF(AND(E217&lt;&gt;0,OR(F217&lt;G217,G217=0,)), E217,"")</f>
        <v/>
      </c>
      <c r="J217" s="80">
        <f>IFERROR(_xlfn.RANK.EQ(I217,$I$216:$I$234,1),0)</f>
        <v/>
      </c>
      <c r="K217" s="508">
        <f>IF(J217&lt;&gt;0,(MAX($J$216:$J$234)-(J217 - 1))/$J$235,0)</f>
        <v/>
      </c>
      <c r="L217" s="81">
        <f>K217*$L$213</f>
        <v/>
      </c>
      <c r="M217" s="80">
        <f>IFERROR(IF(AND(G217 &lt;&gt; 0,L217 / _xlfn.XLOOKUP('3. Food costs'!C50,Table2[Item],Table2[Energy (kcal) per 100g edible portion],0) * 100 &gt;G217 - F217),IF(G217-F217&lt;0,0,G217-F217), L217 / _xlfn.XLOOKUP('3. Food costs'!C50,Table2[Item],Table2[Energy (kcal) per 100g edible portion],0) * 100),0)</f>
        <v/>
      </c>
      <c r="N217" s="80">
        <f>M217+F217</f>
        <v/>
      </c>
      <c r="O217" s="80">
        <f>N217*_xlfn.XLOOKUP('3. Food costs'!C50,Table2[Item],Table2[Energy (kcal) per 100g edible portion],0) / 100</f>
        <v/>
      </c>
      <c r="P217" s="80">
        <f>IF(AND(E217&lt;&gt;0,OR(N217&lt;G217,G217=0)),I217,"")</f>
        <v/>
      </c>
      <c r="Q217" s="80">
        <f>IFERROR(_xlfn.RANK.EQ(P217,$P$216:$P$234,1),0)</f>
        <v/>
      </c>
      <c r="R217" s="80">
        <f>IF(Q217&lt;&gt;0,(MAX($Q$216:$Q$234)-(Q217 - 1))/$Q$235,0)</f>
        <v/>
      </c>
      <c r="S217" s="80">
        <f>R217*$S$213</f>
        <v/>
      </c>
      <c r="T217" s="80">
        <f>IFERROR(IF(AND(G217&lt;&gt; 0, (S217)/ _xlfn.XLOOKUP('3. Food costs'!C50,Table2[Item],Table2[Energy (kcal) per 100g edible portion],0) * 100 &gt;G217 - N217),IF(G217-N217&lt;0,0,G217-N217), (S217)/ _xlfn.XLOOKUP('3. Food costs'!C50,Table2[Item],Table2[Energy (kcal) per 100g edible portion],0) * 100),0)</f>
        <v/>
      </c>
      <c r="U217" s="80">
        <f>T217 + N217</f>
        <v/>
      </c>
      <c r="V217" s="80">
        <f>U217*_xlfn.XLOOKUP('3. Food costs'!C50,Table2[Item],Table2[Energy (kcal) per 100g edible portion],0) / 100</f>
        <v/>
      </c>
      <c r="W217" s="80">
        <f>IF(AND(E217&lt;&gt;0,OR(U217&lt;G217,G217=0)),I217,"")</f>
        <v/>
      </c>
      <c r="X217" s="80">
        <f>IFERROR(_xlfn.RANK.EQ(W217,$W$216:$W$234,1),0)</f>
        <v/>
      </c>
      <c r="Y217" s="80">
        <f>IF(X217&lt;&gt;0,(MAX($X$216:$X$234)-(X217 - 1))/$W$235,0)</f>
        <v/>
      </c>
      <c r="Z217" s="80">
        <f>Y217 *$Y$213</f>
        <v/>
      </c>
      <c r="AA217" s="80">
        <f>IFERROR(IF(AND(G217 &lt;&gt;0, Z217 / _xlfn.XLOOKUP('3. Food costs'!C50,Table2[Item],Table2[Energy (kcal) per 100g edible portion],0) * 100 &gt;G217 - U217),IF(G217-U217&lt;0,0,G217-U217), Z217 / _xlfn.XLOOKUP('3. Food costs'!C50,Table2[Item],Table2[Energy (kcal) per 100g edible portion],0) * 100),0)</f>
        <v/>
      </c>
      <c r="AB217" s="82">
        <f>AA217 + U217</f>
        <v/>
      </c>
      <c r="AC217" s="73">
        <f>AB217*_xlfn.XLOOKUP(C217,Table2[Item],Table2[Energy (kcal) per 100g edible portion],0) / 100</f>
        <v/>
      </c>
      <c r="AD217" s="80">
        <f>AB217*_xlfn.XLOOKUP(C217,Table2[Item],Table2[Carbohydrate (g)],0) / 100</f>
        <v/>
      </c>
      <c r="AE217" s="80">
        <f>AB217*_xlfn.XLOOKUP(C217,Table2[Item],Table2[Protein (g)],0) / 100</f>
        <v/>
      </c>
      <c r="AF217" s="80">
        <f>AB217*_xlfn.XLOOKUP(C217,Table2[Item],Table2[Fat, total (g)],0) / 100</f>
        <v/>
      </c>
      <c r="AH217" s="509">
        <f>(AC216+AC217)/AC235</f>
        <v/>
      </c>
    </row>
    <row r="218">
      <c r="A218" s="22">
        <f>COUNTIFS($B$216:B218,B218)</f>
        <v/>
      </c>
      <c r="B218" s="22">
        <f>'Nutritional input'!C114</f>
        <v/>
      </c>
      <c r="C218" s="22">
        <f>'Nutritional input'!D114</f>
        <v/>
      </c>
      <c r="D218" s="45">
        <f>IF(ISBLANK('Nutritional input'!E114),A218,VLOOKUP('Nutritional input'!E114,'Background calculations'!$B$202:$C$206,2,FALSE))</f>
        <v/>
      </c>
      <c r="E218" s="80">
        <f>_xlfn.XLOOKUP('3. Food costs'!C51,Table2[Item],Table2[Price per calorie],0)</f>
        <v/>
      </c>
      <c r="F218" s="80">
        <f>'Nutritional input'!F114</f>
        <v/>
      </c>
      <c r="G218" s="80">
        <f>'Nutritional input'!G114</f>
        <v/>
      </c>
      <c r="H218" s="80">
        <f>F218*_xlfn.XLOOKUP('3. Food costs'!C51,Table2[Item],Table2[Energy (kcal) per 100g edible portion],0) / 100</f>
        <v/>
      </c>
      <c r="I218" s="80">
        <f>IF(AND(E218&lt;&gt;0,OR(F218&lt;G218,G218=0,)), E218,"")</f>
        <v/>
      </c>
      <c r="J218" s="80">
        <f>IFERROR(_xlfn.RANK.EQ(I218,$I$216:$I$234,1),0)</f>
        <v/>
      </c>
      <c r="K218" s="508">
        <f>IF(J218&lt;&gt;0,(MAX($J$216:$J$234)-(J218 - 1))/$J$235,0)</f>
        <v/>
      </c>
      <c r="L218" s="81">
        <f>K218*$L$213</f>
        <v/>
      </c>
      <c r="M218" s="80">
        <f>IFERROR(IF(AND(G218 &lt;&gt; 0,L218 / _xlfn.XLOOKUP('3. Food costs'!C51,Table2[Item],Table2[Energy (kcal) per 100g edible portion],0) * 100 &gt;G218 - F218),IF(G218-F218&lt;0,0,G218-F218), L218 / _xlfn.XLOOKUP('3. Food costs'!C51,Table2[Item],Table2[Energy (kcal) per 100g edible portion],0) * 100),0)</f>
        <v/>
      </c>
      <c r="N218" s="80">
        <f>M218+F218</f>
        <v/>
      </c>
      <c r="O218" s="80">
        <f>N218*_xlfn.XLOOKUP('3. Food costs'!C51,Table2[Item],Table2[Energy (kcal) per 100g edible portion],0) / 100</f>
        <v/>
      </c>
      <c r="P218" s="80">
        <f>IF(AND(E218&lt;&gt;0,OR(N218&lt;G218,G218=0)),I218,"")</f>
        <v/>
      </c>
      <c r="Q218" s="80">
        <f>IFERROR(_xlfn.RANK.EQ(P218,$P$216:$P$234,1),0)</f>
        <v/>
      </c>
      <c r="R218" s="80">
        <f>IF(Q218&lt;&gt;0,(MAX($Q$216:$Q$234)-(Q218 - 1))/$Q$235,0)</f>
        <v/>
      </c>
      <c r="S218" s="80">
        <f>R218*$S$213</f>
        <v/>
      </c>
      <c r="T218" s="80">
        <f>IFERROR(IF(AND(G218&lt;&gt; 0, (S218)/ _xlfn.XLOOKUP('3. Food costs'!C51,Table2[Item],Table2[Energy (kcal) per 100g edible portion],0) * 100 &gt;G218 - N218),IF(G218-N218&lt;0,0,G218-N218), (S218)/ _xlfn.XLOOKUP('3. Food costs'!C51,Table2[Item],Table2[Energy (kcal) per 100g edible portion],0) * 100),0)</f>
        <v/>
      </c>
      <c r="U218" s="80">
        <f>T218 + N218</f>
        <v/>
      </c>
      <c r="V218" s="80">
        <f>U218*_xlfn.XLOOKUP('3. Food costs'!C51,Table2[Item],Table2[Energy (kcal) per 100g edible portion],0) / 100</f>
        <v/>
      </c>
      <c r="W218" s="80">
        <f>IF(AND(E218&lt;&gt;0,OR(U218&lt;G218,G218=0)),I218,"")</f>
        <v/>
      </c>
      <c r="X218" s="80">
        <f>IFERROR(_xlfn.RANK.EQ(W218,$W$216:$W$234,1),0)</f>
        <v/>
      </c>
      <c r="Y218" s="80">
        <f>IF(X218&lt;&gt;0,(MAX($X$216:$X$234)-(X218 - 1))/$W$235,0)</f>
        <v/>
      </c>
      <c r="Z218" s="80">
        <f>Y218 *$Y$213</f>
        <v/>
      </c>
      <c r="AA218" s="80">
        <f>IFERROR(IF(AND(G218 &lt;&gt;0, Z218 / _xlfn.XLOOKUP('3. Food costs'!C51,Table2[Item],Table2[Energy (kcal) per 100g edible portion],0) * 100 &gt;G218 - U218),IF(G218-U218&lt;0,0,G218-U218), Z218 / _xlfn.XLOOKUP('3. Food costs'!C51,Table2[Item],Table2[Energy (kcal) per 100g edible portion],0) * 100),0)</f>
        <v/>
      </c>
      <c r="AB218" s="82">
        <f>AA218 + U218</f>
        <v/>
      </c>
      <c r="AC218" s="73">
        <f>AB218*_xlfn.XLOOKUP(C218,Table2[Item],Table2[Energy (kcal) per 100g edible portion],0) / 100</f>
        <v/>
      </c>
      <c r="AD218" s="80">
        <f>AB218*_xlfn.XLOOKUP(C218,Table2[Item],Table2[Carbohydrate (g)],0) / 100</f>
        <v/>
      </c>
      <c r="AE218" s="80">
        <f>AB218*_xlfn.XLOOKUP(C218,Table2[Item],Table2[Protein (g)],0) / 100</f>
        <v/>
      </c>
      <c r="AF218" s="80">
        <f>AB218*_xlfn.XLOOKUP(C218,Table2[Item],Table2[Fat, total (g)],0) / 100</f>
        <v/>
      </c>
    </row>
    <row r="219">
      <c r="A219" s="22">
        <f>COUNTIFS($B$216:B219,B219)</f>
        <v/>
      </c>
      <c r="B219" s="22">
        <f>'Nutritional input'!C115</f>
        <v/>
      </c>
      <c r="C219" s="22">
        <f>'Nutritional input'!D115</f>
        <v/>
      </c>
      <c r="D219" s="45">
        <f>IF(ISBLANK('Nutritional input'!E115),A219,VLOOKUP('Nutritional input'!E115,'Background calculations'!$B$202:$C$206,2,FALSE))</f>
        <v/>
      </c>
      <c r="E219" s="80">
        <f>_xlfn.XLOOKUP('3. Food costs'!C52,Table2[Item],Table2[Price per calorie],0)</f>
        <v/>
      </c>
      <c r="F219" s="80">
        <f>'Nutritional input'!F115</f>
        <v/>
      </c>
      <c r="G219" s="80">
        <f>'Nutritional input'!G115</f>
        <v/>
      </c>
      <c r="H219" s="80">
        <f>F219*_xlfn.XLOOKUP('3. Food costs'!C52,Table2[Item],Table2[Energy (kcal) per 100g edible portion],0) / 100</f>
        <v/>
      </c>
      <c r="I219" s="80">
        <f>IF(AND(E219&lt;&gt;0,OR(F219&lt;G219,G219=0,)), E219,"")</f>
        <v/>
      </c>
      <c r="J219" s="80">
        <f>IFERROR(_xlfn.RANK.EQ(I219,$I$216:$I$234,1),0)</f>
        <v/>
      </c>
      <c r="K219" s="508">
        <f>IF(J219&lt;&gt;0,(MAX($J$216:$J$234)-(J219 - 1))/$J$235,0)</f>
        <v/>
      </c>
      <c r="L219" s="81">
        <f>K219*$L$213</f>
        <v/>
      </c>
      <c r="M219" s="80">
        <f>IFERROR(IF(AND(G219 &lt;&gt; 0,L219 / _xlfn.XLOOKUP('3. Food costs'!C52,Table2[Item],Table2[Energy (kcal) per 100g edible portion],0) * 100 &gt;G219 - F219),IF(G219-F219&lt;0,0,G219-F219), L219 / _xlfn.XLOOKUP('3. Food costs'!C52,Table2[Item],Table2[Energy (kcal) per 100g edible portion],0) * 100),0)</f>
        <v/>
      </c>
      <c r="N219" s="80">
        <f>M219+F219</f>
        <v/>
      </c>
      <c r="O219" s="80">
        <f>N219*_xlfn.XLOOKUP('3. Food costs'!C52,Table2[Item],Table2[Energy (kcal) per 100g edible portion],0) / 100</f>
        <v/>
      </c>
      <c r="P219" s="80">
        <f>IF(AND(E219&lt;&gt;0,OR(N219&lt;G219,G219=0)),I219,"")</f>
        <v/>
      </c>
      <c r="Q219" s="80">
        <f>IFERROR(_xlfn.RANK.EQ(P219,$P$216:$P$234,1),0)</f>
        <v/>
      </c>
      <c r="R219" s="80">
        <f>IF(Q219&lt;&gt;0,(MAX($Q$216:$Q$234)-(Q219 - 1))/$Q$235,0)</f>
        <v/>
      </c>
      <c r="S219" s="80">
        <f>R219*$S$213</f>
        <v/>
      </c>
      <c r="T219" s="80">
        <f>IFERROR(IF(AND(G219&lt;&gt; 0, (S219)/ _xlfn.XLOOKUP('3. Food costs'!C52,Table2[Item],Table2[Energy (kcal) per 100g edible portion],0) * 100 &gt;G219 - N219),IF(G219-N219&lt;0,0,G219-N219), (S219)/ _xlfn.XLOOKUP('3. Food costs'!C52,Table2[Item],Table2[Energy (kcal) per 100g edible portion],0) * 100),0)</f>
        <v/>
      </c>
      <c r="U219" s="80">
        <f>T219 + N219</f>
        <v/>
      </c>
      <c r="V219" s="80">
        <f>U219*_xlfn.XLOOKUP('3. Food costs'!C52,Table2[Item],Table2[Energy (kcal) per 100g edible portion],0) / 100</f>
        <v/>
      </c>
      <c r="W219" s="80">
        <f>IF(AND(E219&lt;&gt;0,OR(U219&lt;G219,G219=0)),I219,"")</f>
        <v/>
      </c>
      <c r="X219" s="80">
        <f>IFERROR(_xlfn.RANK.EQ(W219,$W$216:$W$234,1),0)</f>
        <v/>
      </c>
      <c r="Y219" s="80">
        <f>IF(X219&lt;&gt;0,(MAX($X$216:$X$234)-(X219 - 1))/$W$235,0)</f>
        <v/>
      </c>
      <c r="Z219" s="80">
        <f>Y219 *$Y$213</f>
        <v/>
      </c>
      <c r="AA219" s="80">
        <f>IFERROR(IF(AND(G219 &lt;&gt;0, Z219 / _xlfn.XLOOKUP('3. Food costs'!C52,Table2[Item],Table2[Energy (kcal) per 100g edible portion],0) * 100 &gt;G219 - U219),IF(G219-U219&lt;0,0,G219-U219), Z219 / _xlfn.XLOOKUP('3. Food costs'!C52,Table2[Item],Table2[Energy (kcal) per 100g edible portion],0) * 100),0)</f>
        <v/>
      </c>
      <c r="AB219" s="82">
        <f>AA219 + U219</f>
        <v/>
      </c>
      <c r="AC219" s="73">
        <f>AB219*_xlfn.XLOOKUP(C219,Table2[Item],Table2[Energy (kcal) per 100g edible portion],0) / 100</f>
        <v/>
      </c>
      <c r="AD219" s="80">
        <f>AB219*_xlfn.XLOOKUP(C219,Table2[Item],Table2[Carbohydrate (g)],0) / 100</f>
        <v/>
      </c>
      <c r="AE219" s="80">
        <f>AB219*_xlfn.XLOOKUP(C219,Table2[Item],Table2[Protein (g)],0) / 100</f>
        <v/>
      </c>
      <c r="AF219" s="80">
        <f>AB219*_xlfn.XLOOKUP(C219,Table2[Item],Table2[Fat, total (g)],0) / 100</f>
        <v/>
      </c>
    </row>
    <row r="220">
      <c r="A220" s="22">
        <f>COUNTIFS($B$216:B220,B220)</f>
        <v/>
      </c>
      <c r="B220" s="22">
        <f>'Nutritional input'!C116</f>
        <v/>
      </c>
      <c r="C220" s="22">
        <f>'Nutritional input'!D116</f>
        <v/>
      </c>
      <c r="D220" s="45">
        <f>IF(ISBLANK('Nutritional input'!E116),A220,VLOOKUP('Nutritional input'!E116,'Background calculations'!$B$202:$C$206,2,FALSE))</f>
        <v/>
      </c>
      <c r="E220" s="80">
        <f>_xlfn.XLOOKUP('3. Food costs'!C53,Table2[Item],Table2[Price per calorie],0)</f>
        <v/>
      </c>
      <c r="F220" s="80">
        <f>'Nutritional input'!F116</f>
        <v/>
      </c>
      <c r="G220" s="80">
        <f>'Nutritional input'!G116</f>
        <v/>
      </c>
      <c r="H220" s="80">
        <f>F220*_xlfn.XLOOKUP('3. Food costs'!C53,Table2[Item],Table2[Energy (kcal) per 100g edible portion],0) / 100</f>
        <v/>
      </c>
      <c r="I220" s="80">
        <f>IF(AND(E220&lt;&gt;0,OR(F220&lt;G220,G220=0,)), E220,"")</f>
        <v/>
      </c>
      <c r="J220" s="80">
        <f>IFERROR(_xlfn.RANK.EQ(I220,$I$216:$I$234,1),0)</f>
        <v/>
      </c>
      <c r="K220" s="508">
        <f>IF(J220&lt;&gt;0,(MAX($J$216:$J$234)-(J220 - 1))/$J$235,0)</f>
        <v/>
      </c>
      <c r="L220" s="81">
        <f>K220*$L$213</f>
        <v/>
      </c>
      <c r="M220" s="80">
        <f>IFERROR(IF(AND(G220 &lt;&gt; 0,L220 / _xlfn.XLOOKUP('3. Food costs'!C53,Table2[Item],Table2[Energy (kcal) per 100g edible portion],0) * 100 &gt;G220 - F220),IF(G220-F220&lt;0,0,G220-F220), L220 / _xlfn.XLOOKUP('3. Food costs'!C53,Table2[Item],Table2[Energy (kcal) per 100g edible portion],0) * 100),0)</f>
        <v/>
      </c>
      <c r="N220" s="80">
        <f>M220+F220</f>
        <v/>
      </c>
      <c r="O220" s="80">
        <f>N220*_xlfn.XLOOKUP('3. Food costs'!C53,Table2[Item],Table2[Energy (kcal) per 100g edible portion],0) / 100</f>
        <v/>
      </c>
      <c r="P220" s="80">
        <f>IF(AND(E220&lt;&gt;0,OR(N220&lt;G220,G220=0)),I220,"")</f>
        <v/>
      </c>
      <c r="Q220" s="80">
        <f>IFERROR(_xlfn.RANK.EQ(P220,$P$216:$P$234,1),0)</f>
        <v/>
      </c>
      <c r="R220" s="80">
        <f>IF(Q220&lt;&gt;0,(MAX($Q$216:$Q$234)-(Q220 - 1))/$Q$235,0)</f>
        <v/>
      </c>
      <c r="S220" s="80">
        <f>R220*$S$213</f>
        <v/>
      </c>
      <c r="T220" s="80">
        <f>IFERROR(IF(AND(G220&lt;&gt; 0, (S220)/ _xlfn.XLOOKUP('3. Food costs'!C53,Table2[Item],Table2[Energy (kcal) per 100g edible portion],0) * 100 &gt;G220 - N220),IF(G220-N220&lt;0,0,G220-N220), (S220)/ _xlfn.XLOOKUP('3. Food costs'!C53,Table2[Item],Table2[Energy (kcal) per 100g edible portion],0) * 100),0)</f>
        <v/>
      </c>
      <c r="U220" s="80">
        <f>T220 + N220</f>
        <v/>
      </c>
      <c r="V220" s="80">
        <f>U220*_xlfn.XLOOKUP('3. Food costs'!C53,Table2[Item],Table2[Energy (kcal) per 100g edible portion],0) / 100</f>
        <v/>
      </c>
      <c r="W220" s="80">
        <f>IF(AND(E220&lt;&gt;0,OR(U220&lt;G220,G220=0)),I220,"")</f>
        <v/>
      </c>
      <c r="X220" s="80">
        <f>IFERROR(_xlfn.RANK.EQ(W220,$W$216:$W$234,1),0)</f>
        <v/>
      </c>
      <c r="Y220" s="80">
        <f>IF(X220&lt;&gt;0,(MAX($X$216:$X$234)-(X220 - 1))/$W$235,0)</f>
        <v/>
      </c>
      <c r="Z220" s="80">
        <f>Y220 *$Y$213</f>
        <v/>
      </c>
      <c r="AA220" s="80">
        <f>IFERROR(IF(AND(G220 &lt;&gt;0, Z220 / _xlfn.XLOOKUP('3. Food costs'!C53,Table2[Item],Table2[Energy (kcal) per 100g edible portion],0) * 100 &gt;G220 - U220),IF(G220-U220&lt;0,0,G220-U220), Z220 / _xlfn.XLOOKUP('3. Food costs'!C53,Table2[Item],Table2[Energy (kcal) per 100g edible portion],0) * 100),0)</f>
        <v/>
      </c>
      <c r="AB220" s="82">
        <f>AA220 + U220</f>
        <v/>
      </c>
      <c r="AC220" s="73">
        <f>AB220*_xlfn.XLOOKUP(C220,Table2[Item],Table2[Energy (kcal) per 100g edible portion],0) / 100</f>
        <v/>
      </c>
      <c r="AD220" s="80">
        <f>AB220*_xlfn.XLOOKUP(C220,Table2[Item],Table2[Carbohydrate (g)],0) / 100</f>
        <v/>
      </c>
      <c r="AE220" s="80">
        <f>AB220*_xlfn.XLOOKUP(C220,Table2[Item],Table2[Protein (g)],0) / 100</f>
        <v/>
      </c>
      <c r="AF220" s="80">
        <f>AB220*_xlfn.XLOOKUP(C220,Table2[Item],Table2[Fat, total (g)],0) / 100</f>
        <v/>
      </c>
    </row>
    <row r="221">
      <c r="A221" s="22">
        <f>COUNTIFS($B$216:B221,B221)</f>
        <v/>
      </c>
      <c r="B221" s="22">
        <f>'Nutritional input'!C117</f>
        <v/>
      </c>
      <c r="C221" s="22">
        <f>'Nutritional input'!D117</f>
        <v/>
      </c>
      <c r="D221" s="45">
        <f>IF(ISBLANK('Nutritional input'!E117),A221,VLOOKUP('Nutritional input'!E117,'Background calculations'!$B$202:$C$206,2,FALSE))</f>
        <v/>
      </c>
      <c r="E221" s="80">
        <f>_xlfn.XLOOKUP('3. Food costs'!C54,Table2[Item],Table2[Price per calorie],0)</f>
        <v/>
      </c>
      <c r="F221" s="80">
        <f>'Nutritional input'!F117</f>
        <v/>
      </c>
      <c r="G221" s="80">
        <f>'Nutritional input'!G117</f>
        <v/>
      </c>
      <c r="H221" s="80">
        <f>F221*_xlfn.XLOOKUP('3. Food costs'!C54,Table2[Item],Table2[Energy (kcal) per 100g edible portion],0) / 100</f>
        <v/>
      </c>
      <c r="I221" s="80">
        <f>IF(AND(E221&lt;&gt;0,OR(F221&lt;G221,G221=0,)), E221,"")</f>
        <v/>
      </c>
      <c r="J221" s="80">
        <f>IFERROR(_xlfn.RANK.EQ(I221,$I$216:$I$234,1),0)</f>
        <v/>
      </c>
      <c r="K221" s="508">
        <f>IF(J221&lt;&gt;0,(MAX($J$216:$J$234)-(J221 - 1))/$J$235,0)</f>
        <v/>
      </c>
      <c r="L221" s="81">
        <f>K221*$L$213</f>
        <v/>
      </c>
      <c r="M221" s="80">
        <f>IFERROR(IF(AND(G221 &lt;&gt; 0,L221 / _xlfn.XLOOKUP('3. Food costs'!C54,Table2[Item],Table2[Energy (kcal) per 100g edible portion],0) * 100 &gt;G221 - F221),IF(G221-F221&lt;0,0,G221-F221), L221 / _xlfn.XLOOKUP('3. Food costs'!C54,Table2[Item],Table2[Energy (kcal) per 100g edible portion],0) * 100),0)</f>
        <v/>
      </c>
      <c r="N221" s="80">
        <f>M221+F221</f>
        <v/>
      </c>
      <c r="O221" s="80">
        <f>N221*_xlfn.XLOOKUP('3. Food costs'!C54,Table2[Item],Table2[Energy (kcal) per 100g edible portion],0) / 100</f>
        <v/>
      </c>
      <c r="P221" s="80">
        <f>IF(AND(E221&lt;&gt;0,OR(N221&lt;G221,G221=0)),I221,"")</f>
        <v/>
      </c>
      <c r="Q221" s="80">
        <f>IFERROR(_xlfn.RANK.EQ(P221,$P$216:$P$234,1),0)</f>
        <v/>
      </c>
      <c r="R221" s="80">
        <f>IF(Q221&lt;&gt;0,(MAX($Q$216:$Q$234)-(Q221 - 1))/$Q$235,0)</f>
        <v/>
      </c>
      <c r="S221" s="80">
        <f>R221*$S$213</f>
        <v/>
      </c>
      <c r="T221" s="80">
        <f>IFERROR(IF(AND(G221&lt;&gt; 0, (S221)/ _xlfn.XLOOKUP('3. Food costs'!C54,Table2[Item],Table2[Energy (kcal) per 100g edible portion],0) * 100 &gt;G221 - N221),IF(G221-N221&lt;0,0,G221-N221), (S221)/ _xlfn.XLOOKUP('3. Food costs'!C54,Table2[Item],Table2[Energy (kcal) per 100g edible portion],0) * 100),0)</f>
        <v/>
      </c>
      <c r="U221" s="80">
        <f>T221 + N221</f>
        <v/>
      </c>
      <c r="V221" s="80">
        <f>U221*_xlfn.XLOOKUP('3. Food costs'!C54,Table2[Item],Table2[Energy (kcal) per 100g edible portion],0) / 100</f>
        <v/>
      </c>
      <c r="W221" s="80">
        <f>IF(AND(E221&lt;&gt;0,OR(U221&lt;G221,G221=0)),I221,"")</f>
        <v/>
      </c>
      <c r="X221" s="80">
        <f>IFERROR(_xlfn.RANK.EQ(W221,$W$216:$W$234,1),0)</f>
        <v/>
      </c>
      <c r="Y221" s="80">
        <f>IF(X221&lt;&gt;0,(MAX($X$216:$X$234)-(X221 - 1))/$W$235,0)</f>
        <v/>
      </c>
      <c r="Z221" s="80">
        <f>Y221 *$Y$213</f>
        <v/>
      </c>
      <c r="AA221" s="80">
        <f>IFERROR(IF(AND(G221 &lt;&gt;0, Z221 / _xlfn.XLOOKUP('3. Food costs'!C54,Table2[Item],Table2[Energy (kcal) per 100g edible portion],0) * 100 &gt;G221 - U221),IF(G221-U221&lt;0,0,G221-U221), Z221 / _xlfn.XLOOKUP('3. Food costs'!C54,Table2[Item],Table2[Energy (kcal) per 100g edible portion],0) * 100),0)</f>
        <v/>
      </c>
      <c r="AB221" s="82">
        <f>AA221 + U221</f>
        <v/>
      </c>
      <c r="AC221" s="73">
        <f>AB221*_xlfn.XLOOKUP(C221,Table2[Item],Table2[Energy (kcal) per 100g edible portion],0) / 100</f>
        <v/>
      </c>
      <c r="AD221" s="80">
        <f>AB221*_xlfn.XLOOKUP(C221,Table2[Item],Table2[Carbohydrate (g)],0) / 100</f>
        <v/>
      </c>
      <c r="AE221" s="80">
        <f>AB221*_xlfn.XLOOKUP(C221,Table2[Item],Table2[Protein (g)],0) / 100</f>
        <v/>
      </c>
      <c r="AF221" s="80">
        <f>AB221*_xlfn.XLOOKUP(C221,Table2[Item],Table2[Fat, total (g)],0) / 100</f>
        <v/>
      </c>
    </row>
    <row r="222">
      <c r="A222" s="22">
        <f>COUNTIFS($B$216:B222,B222)</f>
        <v/>
      </c>
      <c r="B222" s="22">
        <f>'Nutritional input'!C118</f>
        <v/>
      </c>
      <c r="C222" s="22">
        <f>'Nutritional input'!D118</f>
        <v/>
      </c>
      <c r="D222" s="45">
        <f>IF(ISBLANK('Nutritional input'!E118),A222,VLOOKUP('Nutritional input'!E118,'Background calculations'!$B$202:$C$206,2,FALSE))</f>
        <v/>
      </c>
      <c r="E222" s="80">
        <f>_xlfn.XLOOKUP('3. Food costs'!C55,Table2[Item],Table2[Price per calorie],0)</f>
        <v/>
      </c>
      <c r="F222" s="80">
        <f>'Nutritional input'!F118</f>
        <v/>
      </c>
      <c r="G222" s="80">
        <f>'Nutritional input'!G118</f>
        <v/>
      </c>
      <c r="H222" s="80">
        <f>F222*_xlfn.XLOOKUP('3. Food costs'!C55,Table2[Item],Table2[Energy (kcal) per 100g edible portion],0) / 100</f>
        <v/>
      </c>
      <c r="I222" s="80">
        <f>IF(AND(E222&lt;&gt;0,OR(F222&lt;G222,G222=0,)), E222,"")</f>
        <v/>
      </c>
      <c r="J222" s="80">
        <f>IFERROR(_xlfn.RANK.EQ(I222,$I$216:$I$234,1),0)</f>
        <v/>
      </c>
      <c r="K222" s="508">
        <f>IF(J222&lt;&gt;0,(MAX($J$216:$J$234)-(J222 - 1))/$J$235,0)</f>
        <v/>
      </c>
      <c r="L222" s="81">
        <f>K222*$L$213</f>
        <v/>
      </c>
      <c r="M222" s="80">
        <f>IFERROR(IF(AND(G222 &lt;&gt; 0,L222 / _xlfn.XLOOKUP('3. Food costs'!C55,Table2[Item],Table2[Energy (kcal) per 100g edible portion],0) * 100 &gt;G222 - F222),IF(G222-F222&lt;0,0,G222-F222), L222 / _xlfn.XLOOKUP('3. Food costs'!C55,Table2[Item],Table2[Energy (kcal) per 100g edible portion],0) * 100),0)</f>
        <v/>
      </c>
      <c r="N222" s="80">
        <f>M222+F222</f>
        <v/>
      </c>
      <c r="O222" s="80">
        <f>N222*_xlfn.XLOOKUP('3. Food costs'!C55,Table2[Item],Table2[Energy (kcal) per 100g edible portion],0) / 100</f>
        <v/>
      </c>
      <c r="P222" s="80">
        <f>IF(AND(E222&lt;&gt;0,OR(N222&lt;G222,G222=0)),I222,"")</f>
        <v/>
      </c>
      <c r="Q222" s="80">
        <f>IFERROR(_xlfn.RANK.EQ(P222,$P$216:$P$234,1),0)</f>
        <v/>
      </c>
      <c r="R222" s="80">
        <f>IF(Q222&lt;&gt;0,(MAX($Q$216:$Q$234)-(Q222 - 1))/$Q$235,0)</f>
        <v/>
      </c>
      <c r="S222" s="80">
        <f>R222*$S$213</f>
        <v/>
      </c>
      <c r="T222" s="80">
        <f>IFERROR(IF(AND(G222&lt;&gt; 0, (S222)/ _xlfn.XLOOKUP('3. Food costs'!C55,Table2[Item],Table2[Energy (kcal) per 100g edible portion],0) * 100 &gt;G222 - N222),IF(G222-N222&lt;0,0,G222-N222), (S222)/ _xlfn.XLOOKUP('3. Food costs'!C55,Table2[Item],Table2[Energy (kcal) per 100g edible portion],0) * 100),0)</f>
        <v/>
      </c>
      <c r="U222" s="80">
        <f>T222 + N222</f>
        <v/>
      </c>
      <c r="V222" s="80">
        <f>U222*_xlfn.XLOOKUP('3. Food costs'!C55,Table2[Item],Table2[Energy (kcal) per 100g edible portion],0) / 100</f>
        <v/>
      </c>
      <c r="W222" s="80">
        <f>IF(AND(E222&lt;&gt;0,OR(U222&lt;G222,G222=0)),I222,"")</f>
        <v/>
      </c>
      <c r="X222" s="80">
        <f>IFERROR(_xlfn.RANK.EQ(W222,$W$216:$W$234,1),0)</f>
        <v/>
      </c>
      <c r="Y222" s="80">
        <f>IF(X222&lt;&gt;0,(MAX($X$216:$X$234)-(X222 - 1))/$W$235,0)</f>
        <v/>
      </c>
      <c r="Z222" s="80">
        <f>Y222 *$Y$213</f>
        <v/>
      </c>
      <c r="AA222" s="80">
        <f>IFERROR(IF(AND(G222 &lt;&gt;0, Z222 / _xlfn.XLOOKUP('3. Food costs'!C55,Table2[Item],Table2[Energy (kcal) per 100g edible portion],0) * 100 &gt;G222 - U222),IF(G222-U222&lt;0,0,G222-U222), Z222 / _xlfn.XLOOKUP('3. Food costs'!C55,Table2[Item],Table2[Energy (kcal) per 100g edible portion],0) * 100),0)</f>
        <v/>
      </c>
      <c r="AB222" s="82">
        <f>AA222 + U222</f>
        <v/>
      </c>
      <c r="AC222" s="73">
        <f>AB222*_xlfn.XLOOKUP(C222,Table2[Item],Table2[Energy (kcal) per 100g edible portion],0) / 100</f>
        <v/>
      </c>
      <c r="AD222" s="80">
        <f>AB222*_xlfn.XLOOKUP(C222,Table2[Item],Table2[Carbohydrate (g)],0) / 100</f>
        <v/>
      </c>
      <c r="AE222" s="80">
        <f>AB222*_xlfn.XLOOKUP(C222,Table2[Item],Table2[Protein (g)],0) / 100</f>
        <v/>
      </c>
      <c r="AF222" s="80">
        <f>AB222*_xlfn.XLOOKUP(C222,Table2[Item],Table2[Fat, total (g)],0) / 100</f>
        <v/>
      </c>
    </row>
    <row r="223">
      <c r="A223" s="22">
        <f>COUNTIFS($B$216:B223,B223)</f>
        <v/>
      </c>
      <c r="B223" s="22">
        <f>'Nutritional input'!C119</f>
        <v/>
      </c>
      <c r="C223" s="22">
        <f>'Nutritional input'!D119</f>
        <v/>
      </c>
      <c r="D223" s="45">
        <f>IF(ISBLANK('Nutritional input'!E119),A223,VLOOKUP('Nutritional input'!E119,'Background calculations'!$B$202:$C$206,2,FALSE))</f>
        <v/>
      </c>
      <c r="E223" s="80">
        <f>_xlfn.XLOOKUP('3. Food costs'!C56,Table2[Item],Table2[Price per calorie],0)</f>
        <v/>
      </c>
      <c r="F223" s="80">
        <f>'Nutritional input'!F119</f>
        <v/>
      </c>
      <c r="G223" s="80">
        <f>'Nutritional input'!G119</f>
        <v/>
      </c>
      <c r="H223" s="80">
        <f>F223*_xlfn.XLOOKUP('3. Food costs'!C56,Table2[Item],Table2[Energy (kcal) per 100g edible portion],0) / 100</f>
        <v/>
      </c>
      <c r="I223" s="80">
        <f>IF(AND(E223&lt;&gt;0,OR(F223&lt;G223,G223=0,)), E223,"")</f>
        <v/>
      </c>
      <c r="J223" s="80">
        <f>IFERROR(_xlfn.RANK.EQ(I223,$I$216:$I$234,1),0)</f>
        <v/>
      </c>
      <c r="K223" s="508">
        <f>IF(J223&lt;&gt;0,(MAX($J$216:$J$234)-(J223 - 1))/$J$235,0)</f>
        <v/>
      </c>
      <c r="L223" s="81">
        <f>K223*$L$213</f>
        <v/>
      </c>
      <c r="M223" s="80">
        <f>IFERROR(IF(AND(G223 &lt;&gt; 0,L223 / _xlfn.XLOOKUP('3. Food costs'!C56,Table2[Item],Table2[Energy (kcal) per 100g edible portion],0) * 100 &gt;G223 - F223),IF(G223-F223&lt;0,0,G223-F223), L223 / _xlfn.XLOOKUP('3. Food costs'!C56,Table2[Item],Table2[Energy (kcal) per 100g edible portion],0) * 100),0)</f>
        <v/>
      </c>
      <c r="N223" s="80">
        <f>M223+F223</f>
        <v/>
      </c>
      <c r="O223" s="80">
        <f>N223*_xlfn.XLOOKUP('3. Food costs'!C56,Table2[Item],Table2[Energy (kcal) per 100g edible portion],0) / 100</f>
        <v/>
      </c>
      <c r="P223" s="80">
        <f>IF(AND(E223&lt;&gt;0,OR(N223&lt;G223,G223=0)),I223,"")</f>
        <v/>
      </c>
      <c r="Q223" s="80">
        <f>IFERROR(_xlfn.RANK.EQ(P223,$P$216:$P$234,1),0)</f>
        <v/>
      </c>
      <c r="R223" s="80">
        <f>IF(Q223&lt;&gt;0,(MAX($Q$216:$Q$234)-(Q223 - 1))/$Q$235,0)</f>
        <v/>
      </c>
      <c r="S223" s="80">
        <f>R223*$S$213</f>
        <v/>
      </c>
      <c r="T223" s="80">
        <f>IFERROR(IF(AND(G223&lt;&gt; 0, (S223)/ _xlfn.XLOOKUP('3. Food costs'!C56,Table2[Item],Table2[Energy (kcal) per 100g edible portion],0) * 100 &gt;G223 - N223),IF(G223-N223&lt;0,0,G223-N223), (S223)/ _xlfn.XLOOKUP('3. Food costs'!C56,Table2[Item],Table2[Energy (kcal) per 100g edible portion],0) * 100),0)</f>
        <v/>
      </c>
      <c r="U223" s="80">
        <f>T223 + N223</f>
        <v/>
      </c>
      <c r="V223" s="80">
        <f>U223*_xlfn.XLOOKUP('3. Food costs'!C56,Table2[Item],Table2[Energy (kcal) per 100g edible portion],0) / 100</f>
        <v/>
      </c>
      <c r="W223" s="80">
        <f>IF(AND(E223&lt;&gt;0,OR(U223&lt;G223,G223=0)),I223,"")</f>
        <v/>
      </c>
      <c r="X223" s="80">
        <f>IFERROR(_xlfn.RANK.EQ(W223,$W$216:$W$234,1),0)</f>
        <v/>
      </c>
      <c r="Y223" s="80">
        <f>IF(X223&lt;&gt;0,(MAX($X$216:$X$234)-(X223 - 1))/$W$235,0)</f>
        <v/>
      </c>
      <c r="Z223" s="80">
        <f>Y223 *$Y$213</f>
        <v/>
      </c>
      <c r="AA223" s="80">
        <f>IFERROR(IF(AND(G223 &lt;&gt;0, Z223 / _xlfn.XLOOKUP('3. Food costs'!C56,Table2[Item],Table2[Energy (kcal) per 100g edible portion],0) * 100 &gt;G223 - U223),IF(G223-U223&lt;0,0,G223-U223), Z223 / _xlfn.XLOOKUP('3. Food costs'!C56,Table2[Item],Table2[Energy (kcal) per 100g edible portion],0) * 100),0)</f>
        <v/>
      </c>
      <c r="AB223" s="82">
        <f>AA223 + U223</f>
        <v/>
      </c>
      <c r="AC223" s="73">
        <f>AB223*_xlfn.XLOOKUP(C223,Table2[Item],Table2[Energy (kcal) per 100g edible portion],0) / 100</f>
        <v/>
      </c>
      <c r="AD223" s="80">
        <f>AB223*_xlfn.XLOOKUP(C223,Table2[Item],Table2[Carbohydrate (g)],0) / 100</f>
        <v/>
      </c>
      <c r="AE223" s="80">
        <f>AB223*_xlfn.XLOOKUP(C223,Table2[Item],Table2[Protein (g)],0) / 100</f>
        <v/>
      </c>
      <c r="AF223" s="80">
        <f>AB223*_xlfn.XLOOKUP(C223,Table2[Item],Table2[Fat, total (g)],0) / 100</f>
        <v/>
      </c>
    </row>
    <row r="224">
      <c r="A224" s="22">
        <f>COUNTIFS($B$216:B224,B224)</f>
        <v/>
      </c>
      <c r="B224" s="22">
        <f>'Nutritional input'!C120</f>
        <v/>
      </c>
      <c r="C224" s="22">
        <f>'Nutritional input'!D120</f>
        <v/>
      </c>
      <c r="D224" s="45">
        <f>IF(ISBLANK('Nutritional input'!E120),A224,VLOOKUP('Nutritional input'!E120,'Background calculations'!$B$202:$C$206,2,FALSE))</f>
        <v/>
      </c>
      <c r="E224" s="80">
        <f>_xlfn.XLOOKUP('3. Food costs'!C57,Table2[Item],Table2[Price per calorie],0)</f>
        <v/>
      </c>
      <c r="F224" s="80">
        <f>'Nutritional input'!F120</f>
        <v/>
      </c>
      <c r="G224" s="80">
        <f>'Nutritional input'!G120</f>
        <v/>
      </c>
      <c r="H224" s="80">
        <f>F224*_xlfn.XLOOKUP('3. Food costs'!C57,Table2[Item],Table2[Energy (kcal) per 100g edible portion],0) / 100</f>
        <v/>
      </c>
      <c r="I224" s="80">
        <f>IF(AND(E224&lt;&gt;0,OR(F224&lt;G224,G224=0,)), E224,"")</f>
        <v/>
      </c>
      <c r="J224" s="80">
        <f>IFERROR(_xlfn.RANK.EQ(I224,$I$216:$I$234,1),0)</f>
        <v/>
      </c>
      <c r="K224" s="508">
        <f>IF(J224&lt;&gt;0,(MAX($J$216:$J$234)-(J224 - 1))/$J$235,0)</f>
        <v/>
      </c>
      <c r="L224" s="81">
        <f>K224*$L$213</f>
        <v/>
      </c>
      <c r="M224" s="80">
        <f>IFERROR(IF(AND(G224 &lt;&gt; 0,L224 / _xlfn.XLOOKUP('3. Food costs'!C57,Table2[Item],Table2[Energy (kcal) per 100g edible portion],0) * 100 &gt;G224 - F224),IF(G224-F224&lt;0,0,G224-F224), L224 / _xlfn.XLOOKUP('3. Food costs'!C57,Table2[Item],Table2[Energy (kcal) per 100g edible portion],0) * 100),0)</f>
        <v/>
      </c>
      <c r="N224" s="80">
        <f>M224+F224</f>
        <v/>
      </c>
      <c r="O224" s="80">
        <f>N224*_xlfn.XLOOKUP('3. Food costs'!C57,Table2[Item],Table2[Energy (kcal) per 100g edible portion],0) / 100</f>
        <v/>
      </c>
      <c r="P224" s="80">
        <f>IF(AND(E224&lt;&gt;0,OR(N224&lt;G224,G224=0)),I224,"")</f>
        <v/>
      </c>
      <c r="Q224" s="80">
        <f>IFERROR(_xlfn.RANK.EQ(P224,$P$216:$P$234,1),0)</f>
        <v/>
      </c>
      <c r="R224" s="80">
        <f>IF(Q224&lt;&gt;0,(MAX($Q$216:$Q$234)-(Q224 - 1))/$Q$235,0)</f>
        <v/>
      </c>
      <c r="S224" s="80">
        <f>R224*$S$213</f>
        <v/>
      </c>
      <c r="T224" s="80">
        <f>IFERROR(IF(AND(G224&lt;&gt; 0, (S224)/ _xlfn.XLOOKUP('3. Food costs'!C57,Table2[Item],Table2[Energy (kcal) per 100g edible portion],0) * 100 &gt;G224 - N224),IF(G224-N224&lt;0,0,G224-N224), (S224)/ _xlfn.XLOOKUP('3. Food costs'!C57,Table2[Item],Table2[Energy (kcal) per 100g edible portion],0) * 100),0)</f>
        <v/>
      </c>
      <c r="U224" s="80">
        <f>T224 + N224</f>
        <v/>
      </c>
      <c r="V224" s="80">
        <f>U224*_xlfn.XLOOKUP('3. Food costs'!C57,Table2[Item],Table2[Energy (kcal) per 100g edible portion],0) / 100</f>
        <v/>
      </c>
      <c r="W224" s="80">
        <f>IF(AND(E224&lt;&gt;0,OR(U224&lt;G224,G224=0)),I224,"")</f>
        <v/>
      </c>
      <c r="X224" s="80">
        <f>IFERROR(_xlfn.RANK.EQ(W224,$W$216:$W$234,1),0)</f>
        <v/>
      </c>
      <c r="Y224" s="80">
        <f>IF(X224&lt;&gt;0,(MAX($X$216:$X$234)-(X224 - 1))/$W$235,0)</f>
        <v/>
      </c>
      <c r="Z224" s="80">
        <f>Y224 *$Y$213</f>
        <v/>
      </c>
      <c r="AA224" s="80">
        <f>IFERROR(IF(AND(G224 &lt;&gt;0, Z224 / _xlfn.XLOOKUP('3. Food costs'!C57,Table2[Item],Table2[Energy (kcal) per 100g edible portion],0) * 100 &gt;G224 - U224),IF(G224-U224&lt;0,0,G224-U224), Z224 / _xlfn.XLOOKUP('3. Food costs'!C57,Table2[Item],Table2[Energy (kcal) per 100g edible portion],0) * 100),0)</f>
        <v/>
      </c>
      <c r="AB224" s="82">
        <f>AA224 + U224</f>
        <v/>
      </c>
      <c r="AC224" s="73">
        <f>AB224*_xlfn.XLOOKUP(C224,Table2[Item],Table2[Energy (kcal) per 100g edible portion],0) / 100</f>
        <v/>
      </c>
      <c r="AD224" s="80">
        <f>AB224*_xlfn.XLOOKUP(C224,Table2[Item],Table2[Carbohydrate (g)],0) / 100</f>
        <v/>
      </c>
      <c r="AE224" s="80">
        <f>AB224*_xlfn.XLOOKUP(C224,Table2[Item],Table2[Protein (g)],0) / 100</f>
        <v/>
      </c>
      <c r="AF224" s="80">
        <f>AB224*_xlfn.XLOOKUP(C224,Table2[Item],Table2[Fat, total (g)],0) / 100</f>
        <v/>
      </c>
    </row>
    <row r="225">
      <c r="A225" s="22">
        <f>COUNTIFS($B$216:B225,B225)</f>
        <v/>
      </c>
      <c r="B225" s="22">
        <f>'Nutritional input'!C121</f>
        <v/>
      </c>
      <c r="C225" s="22">
        <f>'Nutritional input'!D121</f>
        <v/>
      </c>
      <c r="D225" s="45">
        <f>IF(ISBLANK('Nutritional input'!E121),A225,VLOOKUP('Nutritional input'!E121,'Background calculations'!$B$202:$C$206,2,FALSE))</f>
        <v/>
      </c>
      <c r="E225" s="80">
        <f>_xlfn.XLOOKUP('3. Food costs'!C58,Table2[Item],Table2[Price per calorie],0)</f>
        <v/>
      </c>
      <c r="F225" s="80">
        <f>'Nutritional input'!F121</f>
        <v/>
      </c>
      <c r="G225" s="80">
        <f>'Nutritional input'!G121</f>
        <v/>
      </c>
      <c r="H225" s="80">
        <f>F225*_xlfn.XLOOKUP('3. Food costs'!C58,Table2[Item],Table2[Energy (kcal) per 100g edible portion],0) / 100</f>
        <v/>
      </c>
      <c r="I225" s="80">
        <f>IF(AND(E225&lt;&gt;0,OR(F225&lt;G225,G225=0,)), E225,"")</f>
        <v/>
      </c>
      <c r="J225" s="80">
        <f>IFERROR(_xlfn.RANK.EQ(I225,$I$216:$I$234,1),0)</f>
        <v/>
      </c>
      <c r="K225" s="508">
        <f>IF(J225&lt;&gt;0,(MAX($J$216:$J$234)-(J225 - 1))/$J$235,0)</f>
        <v/>
      </c>
      <c r="L225" s="81">
        <f>K225*$L$213</f>
        <v/>
      </c>
      <c r="M225" s="80">
        <f>IFERROR(IF(AND(G225 &lt;&gt; 0,L225 / _xlfn.XLOOKUP('3. Food costs'!C58,Table2[Item],Table2[Energy (kcal) per 100g edible portion],0) * 100 &gt;G225 - F225),IF(G225-F225&lt;0,0,G225-F225), L225 / _xlfn.XLOOKUP('3. Food costs'!C58,Table2[Item],Table2[Energy (kcal) per 100g edible portion],0) * 100),0)</f>
        <v/>
      </c>
      <c r="N225" s="80">
        <f>M225+F225</f>
        <v/>
      </c>
      <c r="O225" s="80">
        <f>N225*_xlfn.XLOOKUP('3. Food costs'!C58,Table2[Item],Table2[Energy (kcal) per 100g edible portion],0) / 100</f>
        <v/>
      </c>
      <c r="P225" s="80">
        <f>IF(AND(E225&lt;&gt;0,OR(N225&lt;G225,G225=0)),I225,"")</f>
        <v/>
      </c>
      <c r="Q225" s="80">
        <f>IFERROR(_xlfn.RANK.EQ(P225,$P$216:$P$234,1),0)</f>
        <v/>
      </c>
      <c r="R225" s="80">
        <f>IF(Q225&lt;&gt;0,(MAX($Q$216:$Q$234)-(Q225 - 1))/$Q$235,0)</f>
        <v/>
      </c>
      <c r="S225" s="80">
        <f>R225*$S$213</f>
        <v/>
      </c>
      <c r="T225" s="80">
        <f>IFERROR(IF(AND(G225&lt;&gt; 0, (S225)/ _xlfn.XLOOKUP('3. Food costs'!C58,Table2[Item],Table2[Energy (kcal) per 100g edible portion],0) * 100 &gt;G225 - N225),IF(G225-N225&lt;0,0,G225-N225), (S225)/ _xlfn.XLOOKUP('3. Food costs'!C58,Table2[Item],Table2[Energy (kcal) per 100g edible portion],0) * 100),0)</f>
        <v/>
      </c>
      <c r="U225" s="80">
        <f>T225 + N225</f>
        <v/>
      </c>
      <c r="V225" s="80">
        <f>U225*_xlfn.XLOOKUP('3. Food costs'!C58,Table2[Item],Table2[Energy (kcal) per 100g edible portion],0) / 100</f>
        <v/>
      </c>
      <c r="W225" s="80">
        <f>IF(AND(E225&lt;&gt;0,OR(U225&lt;G225,G225=0)),I225,"")</f>
        <v/>
      </c>
      <c r="X225" s="80">
        <f>IFERROR(_xlfn.RANK.EQ(W225,$W$216:$W$234,1),0)</f>
        <v/>
      </c>
      <c r="Y225" s="80">
        <f>IF(X225&lt;&gt;0,(MAX($X$216:$X$234)-(X225 - 1))/$W$235,0)</f>
        <v/>
      </c>
      <c r="Z225" s="80">
        <f>Y225 *$Y$213</f>
        <v/>
      </c>
      <c r="AA225" s="80">
        <f>IFERROR(IF(AND(G225 &lt;&gt;0, Z225 / _xlfn.XLOOKUP('3. Food costs'!C58,Table2[Item],Table2[Energy (kcal) per 100g edible portion],0) * 100 &gt;G225 - U225),IF(G225-U225&lt;0,0,G225-U225), Z225 / _xlfn.XLOOKUP('3. Food costs'!C58,Table2[Item],Table2[Energy (kcal) per 100g edible portion],0) * 100),0)</f>
        <v/>
      </c>
      <c r="AB225" s="82">
        <f>AA225 + U225</f>
        <v/>
      </c>
      <c r="AC225" s="73">
        <f>AB225*_xlfn.XLOOKUP(C225,Table2[Item],Table2[Energy (kcal) per 100g edible portion],0) / 100</f>
        <v/>
      </c>
      <c r="AD225" s="80">
        <f>AB225*_xlfn.XLOOKUP(C225,Table2[Item],Table2[Carbohydrate (g)],0) / 100</f>
        <v/>
      </c>
      <c r="AE225" s="80">
        <f>AB225*_xlfn.XLOOKUP(C225,Table2[Item],Table2[Protein (g)],0) / 100</f>
        <v/>
      </c>
      <c r="AF225" s="80">
        <f>AB225*_xlfn.XLOOKUP(C225,Table2[Item],Table2[Fat, total (g)],0) / 100</f>
        <v/>
      </c>
    </row>
    <row r="226">
      <c r="A226" s="22">
        <f>COUNTIFS($B$216:B226,B226)</f>
        <v/>
      </c>
      <c r="B226" s="22">
        <f>'Nutritional input'!C122</f>
        <v/>
      </c>
      <c r="C226" s="22">
        <f>'Nutritional input'!D122</f>
        <v/>
      </c>
      <c r="D226" s="45">
        <f>IF(ISBLANK('Nutritional input'!E122),A226,VLOOKUP('Nutritional input'!E122,'Background calculations'!$B$202:$C$206,2,FALSE))</f>
        <v/>
      </c>
      <c r="E226" s="80">
        <f>_xlfn.XLOOKUP('3. Food costs'!C59,Table2[Item],Table2[Price per calorie],0)</f>
        <v/>
      </c>
      <c r="F226" s="80">
        <f>'Nutritional input'!F122</f>
        <v/>
      </c>
      <c r="G226" s="80">
        <f>'Nutritional input'!G122</f>
        <v/>
      </c>
      <c r="H226" s="80">
        <f>F226*_xlfn.XLOOKUP('3. Food costs'!C59,Table2[Item],Table2[Energy (kcal) per 100g edible portion],0) / 100</f>
        <v/>
      </c>
      <c r="I226" s="80">
        <f>IF(AND(E226&lt;&gt;0,OR(F226&lt;G226,G226=0,)), E226,"")</f>
        <v/>
      </c>
      <c r="J226" s="80">
        <f>IFERROR(_xlfn.RANK.EQ(I226,$I$216:$I$234,1),0)</f>
        <v/>
      </c>
      <c r="K226" s="508">
        <f>IF(J226&lt;&gt;0,(MAX($J$216:$J$234)-(J226 - 1))/$J$235,0)</f>
        <v/>
      </c>
      <c r="L226" s="81">
        <f>K226*$L$213</f>
        <v/>
      </c>
      <c r="M226" s="80">
        <f>IFERROR(IF(AND(G226 &lt;&gt; 0,L226 / _xlfn.XLOOKUP('3. Food costs'!C59,Table2[Item],Table2[Energy (kcal) per 100g edible portion],0) * 100 &gt;G226 - F226),IF(G226-F226&lt;0,0,G226-F226), L226 / _xlfn.XLOOKUP('3. Food costs'!C59,Table2[Item],Table2[Energy (kcal) per 100g edible portion],0) * 100),0)</f>
        <v/>
      </c>
      <c r="N226" s="80">
        <f>M226+F226</f>
        <v/>
      </c>
      <c r="O226" s="80">
        <f>N226*_xlfn.XLOOKUP('3. Food costs'!C59,Table2[Item],Table2[Energy (kcal) per 100g edible portion],0) / 100</f>
        <v/>
      </c>
      <c r="P226" s="80">
        <f>IF(AND(E226&lt;&gt;0,OR(N226&lt;G226,G226=0)),I226,"")</f>
        <v/>
      </c>
      <c r="Q226" s="80">
        <f>IFERROR(_xlfn.RANK.EQ(P226,$P$216:$P$234,1),0)</f>
        <v/>
      </c>
      <c r="R226" s="80">
        <f>IF(Q226&lt;&gt;0,(MAX($Q$216:$Q$234)-(Q226 - 1))/$Q$235,0)</f>
        <v/>
      </c>
      <c r="S226" s="80">
        <f>R226*$S$213</f>
        <v/>
      </c>
      <c r="T226" s="80">
        <f>IFERROR(IF(AND(G226&lt;&gt; 0, (S226)/ _xlfn.XLOOKUP('3. Food costs'!C59,Table2[Item],Table2[Energy (kcal) per 100g edible portion],0) * 100 &gt;G226 - N226),IF(G226-N226&lt;0,0,G226-N226), (S226)/ _xlfn.XLOOKUP('3. Food costs'!C59,Table2[Item],Table2[Energy (kcal) per 100g edible portion],0) * 100),0)</f>
        <v/>
      </c>
      <c r="U226" s="80">
        <f>T226 + N226</f>
        <v/>
      </c>
      <c r="V226" s="80">
        <f>U226*_xlfn.XLOOKUP('3. Food costs'!C59,Table2[Item],Table2[Energy (kcal) per 100g edible portion],0) / 100</f>
        <v/>
      </c>
      <c r="W226" s="80">
        <f>IF(AND(E226&lt;&gt;0,OR(U226&lt;G226,G226=0)),I226,"")</f>
        <v/>
      </c>
      <c r="X226" s="80">
        <f>IFERROR(_xlfn.RANK.EQ(W226,$W$216:$W$234,1),0)</f>
        <v/>
      </c>
      <c r="Y226" s="80">
        <f>IF(X226&lt;&gt;0,(MAX($X$216:$X$234)-(X226 - 1))/$W$235,0)</f>
        <v/>
      </c>
      <c r="Z226" s="80">
        <f>Y226 *$Y$213</f>
        <v/>
      </c>
      <c r="AA226" s="80">
        <f>IFERROR(IF(AND(G226 &lt;&gt;0, Z226 / _xlfn.XLOOKUP('3. Food costs'!C59,Table2[Item],Table2[Energy (kcal) per 100g edible portion],0) * 100 &gt;G226 - U226),IF(G226-U226&lt;0,0,G226-U226), Z226 / _xlfn.XLOOKUP('3. Food costs'!C59,Table2[Item],Table2[Energy (kcal) per 100g edible portion],0) * 100),0)</f>
        <v/>
      </c>
      <c r="AB226" s="82">
        <f>AA226 + U226</f>
        <v/>
      </c>
      <c r="AC226" s="73">
        <f>AB226*_xlfn.XLOOKUP(C226,Table2[Item],Table2[Energy (kcal) per 100g edible portion],0) / 100</f>
        <v/>
      </c>
      <c r="AD226" s="80">
        <f>AB226*_xlfn.XLOOKUP(C226,Table2[Item],Table2[Carbohydrate (g)],0) / 100</f>
        <v/>
      </c>
      <c r="AE226" s="80">
        <f>AB226*_xlfn.XLOOKUP(C226,Table2[Item],Table2[Protein (g)],0) / 100</f>
        <v/>
      </c>
      <c r="AF226" s="80">
        <f>AB226*_xlfn.XLOOKUP(C226,Table2[Item],Table2[Fat, total (g)],0) / 100</f>
        <v/>
      </c>
    </row>
    <row r="227">
      <c r="A227" s="22">
        <f>COUNTIFS($B$216:B227,B227)</f>
        <v/>
      </c>
      <c r="B227" s="22">
        <f>'Nutritional input'!C123</f>
        <v/>
      </c>
      <c r="C227" s="22">
        <f>'Nutritional input'!D123</f>
        <v/>
      </c>
      <c r="D227" s="45">
        <f>IF(ISBLANK('Nutritional input'!E123),A227,VLOOKUP('Nutritional input'!E123,'Background calculations'!$B$202:$C$206,2,FALSE))</f>
        <v/>
      </c>
      <c r="E227" s="80">
        <f>_xlfn.XLOOKUP('3. Food costs'!C60,Table2[Item],Table2[Price per calorie],0)</f>
        <v/>
      </c>
      <c r="F227" s="80">
        <f>'Nutritional input'!F123</f>
        <v/>
      </c>
      <c r="G227" s="80">
        <f>'Nutritional input'!G123</f>
        <v/>
      </c>
      <c r="H227" s="80">
        <f>F227*_xlfn.XLOOKUP('3. Food costs'!C60,Table2[Item],Table2[Energy (kcal) per 100g edible portion],0) / 100</f>
        <v/>
      </c>
      <c r="I227" s="80">
        <f>IF(AND(E227&lt;&gt;0,OR(F227&lt;G227,G227=0,)), E227,"")</f>
        <v/>
      </c>
      <c r="J227" s="80">
        <f>IFERROR(_xlfn.RANK.EQ(I227,$I$216:$I$234,1),0)</f>
        <v/>
      </c>
      <c r="K227" s="508">
        <f>IF(J227&lt;&gt;0,(MAX($J$216:$J$234)-(J227 - 1))/$J$235,0)</f>
        <v/>
      </c>
      <c r="L227" s="81">
        <f>K227*$L$213</f>
        <v/>
      </c>
      <c r="M227" s="80">
        <f>IFERROR(IF(AND(G227 &lt;&gt; 0,L227 / _xlfn.XLOOKUP('3. Food costs'!C60,Table2[Item],Table2[Energy (kcal) per 100g edible portion],0) * 100 &gt;G227 - F227),IF(G227-F227&lt;0,0,G227-F227), L227 / _xlfn.XLOOKUP('3. Food costs'!C60,Table2[Item],Table2[Energy (kcal) per 100g edible portion],0) * 100),0)</f>
        <v/>
      </c>
      <c r="N227" s="80">
        <f>M227+F227</f>
        <v/>
      </c>
      <c r="O227" s="80">
        <f>N227*_xlfn.XLOOKUP('3. Food costs'!C60,Table2[Item],Table2[Energy (kcal) per 100g edible portion],0) / 100</f>
        <v/>
      </c>
      <c r="P227" s="80">
        <f>IF(AND(E227&lt;&gt;0,OR(N227&lt;G227,G227=0)),I227,"")</f>
        <v/>
      </c>
      <c r="Q227" s="80">
        <f>IFERROR(_xlfn.RANK.EQ(P227,$P$216:$P$234,1),0)</f>
        <v/>
      </c>
      <c r="R227" s="80">
        <f>IF(Q227&lt;&gt;0,(MAX($Q$216:$Q$234)-(Q227 - 1))/$Q$235,0)</f>
        <v/>
      </c>
      <c r="S227" s="80">
        <f>R227*$S$213</f>
        <v/>
      </c>
      <c r="T227" s="80">
        <f>IFERROR(IF(AND(G227&lt;&gt; 0, (S227)/ _xlfn.XLOOKUP('3. Food costs'!C60,Table2[Item],Table2[Energy (kcal) per 100g edible portion],0) * 100 &gt;G227 - N227),IF(G227-N227&lt;0,0,G227-N227), (S227)/ _xlfn.XLOOKUP('3. Food costs'!C60,Table2[Item],Table2[Energy (kcal) per 100g edible portion],0) * 100),0)</f>
        <v/>
      </c>
      <c r="U227" s="80">
        <f>T227 + N227</f>
        <v/>
      </c>
      <c r="V227" s="80">
        <f>U227*_xlfn.XLOOKUP('3. Food costs'!C60,Table2[Item],Table2[Energy (kcal) per 100g edible portion],0) / 100</f>
        <v/>
      </c>
      <c r="W227" s="80">
        <f>IF(AND(E227&lt;&gt;0,OR(U227&lt;G227,G227=0)),I227,"")</f>
        <v/>
      </c>
      <c r="X227" s="80">
        <f>IFERROR(_xlfn.RANK.EQ(W227,$W$216:$W$234,1),0)</f>
        <v/>
      </c>
      <c r="Y227" s="80">
        <f>IF(X227&lt;&gt;0,(MAX($X$216:$X$234)-(X227 - 1))/$W$235,0)</f>
        <v/>
      </c>
      <c r="Z227" s="80">
        <f>Y227 *$Y$213</f>
        <v/>
      </c>
      <c r="AA227" s="80">
        <f>IFERROR(IF(AND(G227 &lt;&gt;0, Z227 / _xlfn.XLOOKUP('3. Food costs'!C60,Table2[Item],Table2[Energy (kcal) per 100g edible portion],0) * 100 &gt;G227 - U227),IF(G227-U227&lt;0,0,G227-U227), Z227 / _xlfn.XLOOKUP('3. Food costs'!C60,Table2[Item],Table2[Energy (kcal) per 100g edible portion],0) * 100),0)</f>
        <v/>
      </c>
      <c r="AB227" s="82">
        <f>AA227 + U227</f>
        <v/>
      </c>
      <c r="AC227" s="73">
        <f>AB227*_xlfn.XLOOKUP(C227,Table2[Item],Table2[Energy (kcal) per 100g edible portion],0) / 100</f>
        <v/>
      </c>
      <c r="AD227" s="80">
        <f>AB227*_xlfn.XLOOKUP(C227,Table2[Item],Table2[Carbohydrate (g)],0) / 100</f>
        <v/>
      </c>
      <c r="AE227" s="80">
        <f>AB227*_xlfn.XLOOKUP(C227,Table2[Item],Table2[Protein (g)],0) / 100</f>
        <v/>
      </c>
      <c r="AF227" s="80">
        <f>AB227*_xlfn.XLOOKUP(C227,Table2[Item],Table2[Fat, total (g)],0) / 100</f>
        <v/>
      </c>
    </row>
    <row r="228">
      <c r="A228" s="22">
        <f>COUNTIFS($B$216:B228,B228)</f>
        <v/>
      </c>
      <c r="B228" s="22">
        <f>'Nutritional input'!C124</f>
        <v/>
      </c>
      <c r="C228" s="22">
        <f>'Nutritional input'!D124</f>
        <v/>
      </c>
      <c r="D228" s="45">
        <f>IF(ISBLANK('Nutritional input'!E124),A228,VLOOKUP('Nutritional input'!E124,'Background calculations'!$B$202:$C$206,2,FALSE))</f>
        <v/>
      </c>
      <c r="E228" s="80">
        <f>_xlfn.XLOOKUP('3. Food costs'!C61,Table2[Item],Table2[Price per calorie],0)</f>
        <v/>
      </c>
      <c r="F228" s="80">
        <f>'Nutritional input'!F124</f>
        <v/>
      </c>
      <c r="G228" s="80">
        <f>'Nutritional input'!G124</f>
        <v/>
      </c>
      <c r="H228" s="80">
        <f>F228*_xlfn.XLOOKUP('3. Food costs'!C61,Table2[Item],Table2[Energy (kcal) per 100g edible portion],0) / 100</f>
        <v/>
      </c>
      <c r="I228" s="80">
        <f>IF(AND(E228&lt;&gt;0,OR(F228&lt;G228,G228=0,)), E228,"")</f>
        <v/>
      </c>
      <c r="J228" s="80">
        <f>IFERROR(_xlfn.RANK.EQ(I228,$I$216:$I$234,1),0)</f>
        <v/>
      </c>
      <c r="K228" s="508">
        <f>IF(J228&lt;&gt;0,(MAX($J$216:$J$234)-(J228 - 1))/$J$235,0)</f>
        <v/>
      </c>
      <c r="L228" s="81">
        <f>K228*$L$213</f>
        <v/>
      </c>
      <c r="M228" s="80">
        <f>IFERROR(IF(AND(G228 &lt;&gt; 0,L228 / _xlfn.XLOOKUP('3. Food costs'!C61,Table2[Item],Table2[Energy (kcal) per 100g edible portion],0) * 100 &gt;G228 - F228),IF(G228-F228&lt;0,0,G228-F228), L228 / _xlfn.XLOOKUP('3. Food costs'!C61,Table2[Item],Table2[Energy (kcal) per 100g edible portion],0) * 100),0)</f>
        <v/>
      </c>
      <c r="N228" s="80">
        <f>M228+F228</f>
        <v/>
      </c>
      <c r="O228" s="80">
        <f>N228*_xlfn.XLOOKUP('3. Food costs'!C61,Table2[Item],Table2[Energy (kcal) per 100g edible portion],0) / 100</f>
        <v/>
      </c>
      <c r="P228" s="80">
        <f>IF(AND(E228&lt;&gt;0,OR(N228&lt;G228,G228=0)),I228,"")</f>
        <v/>
      </c>
      <c r="Q228" s="80">
        <f>IFERROR(_xlfn.RANK.EQ(P228,$P$216:$P$234,1),0)</f>
        <v/>
      </c>
      <c r="R228" s="80">
        <f>IF(Q228&lt;&gt;0,(MAX($Q$216:$Q$234)-(Q228 - 1))/$Q$235,0)</f>
        <v/>
      </c>
      <c r="S228" s="80">
        <f>R228*$S$213</f>
        <v/>
      </c>
      <c r="T228" s="80">
        <f>IFERROR(IF(AND(G228&lt;&gt; 0, (S228)/ _xlfn.XLOOKUP('3. Food costs'!C61,Table2[Item],Table2[Energy (kcal) per 100g edible portion],0) * 100 &gt;G228 - N228),IF(G228-N228&lt;0,0,G228-N228), (S228)/ _xlfn.XLOOKUP('3. Food costs'!C61,Table2[Item],Table2[Energy (kcal) per 100g edible portion],0) * 100),0)</f>
        <v/>
      </c>
      <c r="U228" s="80">
        <f>T228 + N228</f>
        <v/>
      </c>
      <c r="V228" s="80">
        <f>U228*_xlfn.XLOOKUP('3. Food costs'!C61,Table2[Item],Table2[Energy (kcal) per 100g edible portion],0) / 100</f>
        <v/>
      </c>
      <c r="W228" s="80">
        <f>IF(AND(E228&lt;&gt;0,OR(U228&lt;G228,G228=0)),I228,"")</f>
        <v/>
      </c>
      <c r="X228" s="80">
        <f>IFERROR(_xlfn.RANK.EQ(W228,$W$216:$W$234,1),0)</f>
        <v/>
      </c>
      <c r="Y228" s="80">
        <f>IF(X228&lt;&gt;0,(MAX($X$216:$X$234)-(X228 - 1))/$W$235,0)</f>
        <v/>
      </c>
      <c r="Z228" s="80">
        <f>Y228 *$Y$213</f>
        <v/>
      </c>
      <c r="AA228" s="80">
        <f>IFERROR(IF(AND(G228 &lt;&gt;0, Z228 / _xlfn.XLOOKUP('3. Food costs'!C61,Table2[Item],Table2[Energy (kcal) per 100g edible portion],0) * 100 &gt;G228 - U228),IF(G228-U228&lt;0,0,G228-U228), Z228 / _xlfn.XLOOKUP('3. Food costs'!C61,Table2[Item],Table2[Energy (kcal) per 100g edible portion],0) * 100),0)</f>
        <v/>
      </c>
      <c r="AB228" s="82">
        <f>AA228 + U228</f>
        <v/>
      </c>
      <c r="AC228" s="73">
        <f>AB228*_xlfn.XLOOKUP(C228,Table2[Item],Table2[Energy (kcal) per 100g edible portion],0) / 100</f>
        <v/>
      </c>
      <c r="AD228" s="80">
        <f>AB228*_xlfn.XLOOKUP(C228,Table2[Item],Table2[Carbohydrate (g)],0) / 100</f>
        <v/>
      </c>
      <c r="AE228" s="80">
        <f>AB228*_xlfn.XLOOKUP(C228,Table2[Item],Table2[Protein (g)],0) / 100</f>
        <v/>
      </c>
      <c r="AF228" s="80">
        <f>AB228*_xlfn.XLOOKUP(C228,Table2[Item],Table2[Fat, total (g)],0) / 100</f>
        <v/>
      </c>
    </row>
    <row r="229">
      <c r="A229" s="22">
        <f>COUNTIFS($B$216:B229,B229)</f>
        <v/>
      </c>
      <c r="B229" s="22">
        <f>'Nutritional input'!C125</f>
        <v/>
      </c>
      <c r="C229" s="22">
        <f>'Nutritional input'!D125</f>
        <v/>
      </c>
      <c r="D229" s="45">
        <f>IF(ISBLANK('Nutritional input'!E125),A229,VLOOKUP('Nutritional input'!E125,'Background calculations'!$B$202:$C$206,2,FALSE))</f>
        <v/>
      </c>
      <c r="E229" s="80">
        <f>_xlfn.XLOOKUP('3. Food costs'!C62,Table2[Item],Table2[Price per calorie],0)</f>
        <v/>
      </c>
      <c r="F229" s="80">
        <f>'Nutritional input'!F125</f>
        <v/>
      </c>
      <c r="G229" s="80">
        <f>'Nutritional input'!G125</f>
        <v/>
      </c>
      <c r="H229" s="80">
        <f>F229*_xlfn.XLOOKUP('3. Food costs'!C62,Table2[Item],Table2[Energy (kcal) per 100g edible portion],0) / 100</f>
        <v/>
      </c>
      <c r="I229" s="80">
        <f>IF(AND(E229&lt;&gt;0,OR(F229&lt;G229,G229=0,)), E229,"")</f>
        <v/>
      </c>
      <c r="J229" s="80">
        <f>IFERROR(_xlfn.RANK.EQ(I229,$I$216:$I$234,1),0)</f>
        <v/>
      </c>
      <c r="K229" s="508">
        <f>IF(J229&lt;&gt;0,(MAX($J$216:$J$234)-(J229 - 1))/$J$235,0)</f>
        <v/>
      </c>
      <c r="L229" s="81">
        <f>K229*$L$213</f>
        <v/>
      </c>
      <c r="M229" s="80">
        <f>IFERROR(IF(AND(G229 &lt;&gt; 0,L229 / _xlfn.XLOOKUP('3. Food costs'!C62,Table2[Item],Table2[Energy (kcal) per 100g edible portion],0) * 100 &gt;G229 - F229),IF(G229-F229&lt;0,0,G229-F229), L229 / _xlfn.XLOOKUP('3. Food costs'!C62,Table2[Item],Table2[Energy (kcal) per 100g edible portion],0) * 100),0)</f>
        <v/>
      </c>
      <c r="N229" s="80">
        <f>M229+F229</f>
        <v/>
      </c>
      <c r="O229" s="80">
        <f>N229*_xlfn.XLOOKUP('3. Food costs'!C62,Table2[Item],Table2[Energy (kcal) per 100g edible portion],0) / 100</f>
        <v/>
      </c>
      <c r="P229" s="80">
        <f>IF(AND(E229&lt;&gt;0,OR(N229&lt;G229,G229=0)),I229,"")</f>
        <v/>
      </c>
      <c r="Q229" s="80">
        <f>IFERROR(_xlfn.RANK.EQ(P229,$P$216:$P$234,1),0)</f>
        <v/>
      </c>
      <c r="R229" s="80">
        <f>IF(Q229&lt;&gt;0,(MAX($Q$216:$Q$234)-(Q229 - 1))/$Q$235,0)</f>
        <v/>
      </c>
      <c r="S229" s="80">
        <f>R229*$S$213</f>
        <v/>
      </c>
      <c r="T229" s="80">
        <f>IFERROR(IF(AND(G229&lt;&gt; 0, (S229)/ _xlfn.XLOOKUP('3. Food costs'!C62,Table2[Item],Table2[Energy (kcal) per 100g edible portion],0) * 100 &gt;G229 - N229),IF(G229-N229&lt;0,0,G229-N229), (S229)/ _xlfn.XLOOKUP('3. Food costs'!C62,Table2[Item],Table2[Energy (kcal) per 100g edible portion],0) * 100),0)</f>
        <v/>
      </c>
      <c r="U229" s="80">
        <f>T229 + N229</f>
        <v/>
      </c>
      <c r="V229" s="80">
        <f>U229*_xlfn.XLOOKUP('3. Food costs'!C62,Table2[Item],Table2[Energy (kcal) per 100g edible portion],0) / 100</f>
        <v/>
      </c>
      <c r="W229" s="80">
        <f>IF(AND(E229&lt;&gt;0,OR(U229&lt;G229,G229=0)),I229,"")</f>
        <v/>
      </c>
      <c r="X229" s="80">
        <f>IFERROR(_xlfn.RANK.EQ(W229,$W$216:$W$234,1),0)</f>
        <v/>
      </c>
      <c r="Y229" s="80">
        <f>IF(X229&lt;&gt;0,(MAX($X$216:$X$234)-(X229 - 1))/$W$235,0)</f>
        <v/>
      </c>
      <c r="Z229" s="80">
        <f>Y229 *$Y$213</f>
        <v/>
      </c>
      <c r="AA229" s="80">
        <f>IFERROR(IF(AND(G229 &lt;&gt;0, Z229 / _xlfn.XLOOKUP('3. Food costs'!C62,Table2[Item],Table2[Energy (kcal) per 100g edible portion],0) * 100 &gt;G229 - U229),IF(G229-U229&lt;0,0,G229-U229), Z229 / _xlfn.XLOOKUP('3. Food costs'!C62,Table2[Item],Table2[Energy (kcal) per 100g edible portion],0) * 100),0)</f>
        <v/>
      </c>
      <c r="AB229" s="82">
        <f>AA229 + U229</f>
        <v/>
      </c>
      <c r="AC229" s="73">
        <f>AB229*_xlfn.XLOOKUP(C229,Table2[Item],Table2[Energy (kcal) per 100g edible portion],0) / 100</f>
        <v/>
      </c>
      <c r="AD229" s="80">
        <f>AB229*_xlfn.XLOOKUP(C229,Table2[Item],Table2[Carbohydrate (g)],0) / 100</f>
        <v/>
      </c>
      <c r="AE229" s="80">
        <f>AB229*_xlfn.XLOOKUP(C229,Table2[Item],Table2[Protein (g)],0) / 100</f>
        <v/>
      </c>
      <c r="AF229" s="80">
        <f>AB229*_xlfn.XLOOKUP(C229,Table2[Item],Table2[Fat, total (g)],0) / 100</f>
        <v/>
      </c>
    </row>
    <row r="230">
      <c r="A230" s="22">
        <f>COUNTIFS($B$216:B230,B230)</f>
        <v/>
      </c>
      <c r="B230" s="22">
        <f>'Nutritional input'!C126</f>
        <v/>
      </c>
      <c r="C230" s="22">
        <f>'Nutritional input'!D126</f>
        <v/>
      </c>
      <c r="D230" s="45">
        <f>IF(ISBLANK('Nutritional input'!E126),A230,VLOOKUP('Nutritional input'!E126,'Background calculations'!$B$202:$C$206,2,FALSE))</f>
        <v/>
      </c>
      <c r="E230" s="80">
        <f>_xlfn.XLOOKUP('3. Food costs'!C63,Table2[Item],Table2[Price per calorie],0)</f>
        <v/>
      </c>
      <c r="F230" s="80">
        <f>'Nutritional input'!F126</f>
        <v/>
      </c>
      <c r="G230" s="80">
        <f>'Nutritional input'!G126</f>
        <v/>
      </c>
      <c r="H230" s="80">
        <f>F230*_xlfn.XLOOKUP('3. Food costs'!C63,Table2[Item],Table2[Energy (kcal) per 100g edible portion],0) / 100</f>
        <v/>
      </c>
      <c r="I230" s="80">
        <f>IF(AND(E230&lt;&gt;0,OR(F230&lt;G230,G230=0,)), E230,"")</f>
        <v/>
      </c>
      <c r="J230" s="80">
        <f>IFERROR(_xlfn.RANK.EQ(I230,$I$216:$I$234,1),0)</f>
        <v/>
      </c>
      <c r="K230" s="508">
        <f>IF(J230&lt;&gt;0,(MAX($J$216:$J$234)-(J230 - 1))/$J$235,0)</f>
        <v/>
      </c>
      <c r="L230" s="81">
        <f>K230*$L$213</f>
        <v/>
      </c>
      <c r="M230" s="80">
        <f>IFERROR(IF(AND(G230 &lt;&gt; 0,L230 / _xlfn.XLOOKUP('3. Food costs'!C63,Table2[Item],Table2[Energy (kcal) per 100g edible portion],0) * 100 &gt;G230 - F230),IF(G230-F230&lt;0,0,G230-F230), L230 / _xlfn.XLOOKUP('3. Food costs'!C63,Table2[Item],Table2[Energy (kcal) per 100g edible portion],0) * 100),0)</f>
        <v/>
      </c>
      <c r="N230" s="80">
        <f>M230+F230</f>
        <v/>
      </c>
      <c r="O230" s="80">
        <f>N230*_xlfn.XLOOKUP('3. Food costs'!C63,Table2[Item],Table2[Energy (kcal) per 100g edible portion],0) / 100</f>
        <v/>
      </c>
      <c r="P230" s="80">
        <f>IF(AND(E230&lt;&gt;0,OR(N230&lt;G230,G230=0)),I230,"")</f>
        <v/>
      </c>
      <c r="Q230" s="80">
        <f>IFERROR(_xlfn.RANK.EQ(P230,$P$216:$P$234,1),0)</f>
        <v/>
      </c>
      <c r="R230" s="80">
        <f>IF(Q230&lt;&gt;0,(MAX($Q$216:$Q$234)-(Q230 - 1))/$Q$235,0)</f>
        <v/>
      </c>
      <c r="S230" s="80">
        <f>R230*$S$213</f>
        <v/>
      </c>
      <c r="T230" s="80">
        <f>IFERROR(IF(AND(G230&lt;&gt; 0, (S230)/ _xlfn.XLOOKUP('3. Food costs'!C63,Table2[Item],Table2[Energy (kcal) per 100g edible portion],0) * 100 &gt;G230 - N230),IF(G230-N230&lt;0,0,G230-N230), (S230)/ _xlfn.XLOOKUP('3. Food costs'!C63,Table2[Item],Table2[Energy (kcal) per 100g edible portion],0) * 100),0)</f>
        <v/>
      </c>
      <c r="U230" s="80">
        <f>T230 + N230</f>
        <v/>
      </c>
      <c r="V230" s="80">
        <f>U230*_xlfn.XLOOKUP('3. Food costs'!C63,Table2[Item],Table2[Energy (kcal) per 100g edible portion],0) / 100</f>
        <v/>
      </c>
      <c r="W230" s="80">
        <f>IF(AND(E230&lt;&gt;0,OR(U230&lt;G230,G230=0)),I230,"")</f>
        <v/>
      </c>
      <c r="X230" s="80">
        <f>IFERROR(_xlfn.RANK.EQ(W230,$W$216:$W$234,1),0)</f>
        <v/>
      </c>
      <c r="Y230" s="80">
        <f>IF(X230&lt;&gt;0,(MAX($X$216:$X$234)-(X230 - 1))/$W$235,0)</f>
        <v/>
      </c>
      <c r="Z230" s="80">
        <f>Y230 *$Y$213</f>
        <v/>
      </c>
      <c r="AA230" s="80">
        <f>IFERROR(IF(AND(G230 &lt;&gt;0, Z230 / _xlfn.XLOOKUP('3. Food costs'!C63,Table2[Item],Table2[Energy (kcal) per 100g edible portion],0) * 100 &gt;G230 - U230),IF(G230-U230&lt;0,0,G230-U230), Z230 / _xlfn.XLOOKUP('3. Food costs'!C63,Table2[Item],Table2[Energy (kcal) per 100g edible portion],0) * 100),0)</f>
        <v/>
      </c>
      <c r="AB230" s="82">
        <f>AA230 + U230</f>
        <v/>
      </c>
      <c r="AC230" s="73">
        <f>AB230*_xlfn.XLOOKUP(C230,Table2[Item],Table2[Energy (kcal) per 100g edible portion],0) / 100</f>
        <v/>
      </c>
      <c r="AD230" s="80">
        <f>AB230*_xlfn.XLOOKUP(C230,Table2[Item],Table2[Carbohydrate (g)],0) / 100</f>
        <v/>
      </c>
      <c r="AE230" s="80">
        <f>AB230*_xlfn.XLOOKUP(C230,Table2[Item],Table2[Protein (g)],0) / 100</f>
        <v/>
      </c>
      <c r="AF230" s="80">
        <f>AB230*_xlfn.XLOOKUP(C230,Table2[Item],Table2[Fat, total (g)],0) / 100</f>
        <v/>
      </c>
    </row>
    <row r="231">
      <c r="A231" s="22">
        <f>COUNTIFS($B$216:B231,B231)</f>
        <v/>
      </c>
      <c r="B231" s="22">
        <f>'Nutritional input'!C127</f>
        <v/>
      </c>
      <c r="C231" s="22">
        <f>'Nutritional input'!D127</f>
        <v/>
      </c>
      <c r="D231" s="45">
        <f>IF(ISBLANK('Nutritional input'!E127),A231,VLOOKUP('Nutritional input'!E127,'Background calculations'!$B$202:$C$206,2,FALSE))</f>
        <v/>
      </c>
      <c r="E231" s="80">
        <f>_xlfn.XLOOKUP('3. Food costs'!C64,Table2[Item],Table2[Price per calorie],0)</f>
        <v/>
      </c>
      <c r="F231" s="80">
        <f>'Nutritional input'!F127</f>
        <v/>
      </c>
      <c r="G231" s="80">
        <f>'Nutritional input'!G127</f>
        <v/>
      </c>
      <c r="H231" s="80">
        <f>F231*_xlfn.XLOOKUP('3. Food costs'!C64,Table2[Item],Table2[Energy (kcal) per 100g edible portion],0) / 100</f>
        <v/>
      </c>
      <c r="I231" s="80">
        <f>IF(AND(E231&lt;&gt;0,OR(F231&lt;G231,G231=0,)), E231,"")</f>
        <v/>
      </c>
      <c r="J231" s="80">
        <f>IFERROR(_xlfn.RANK.EQ(I231,$I$216:$I$234,1),0)</f>
        <v/>
      </c>
      <c r="K231" s="508">
        <f>IF(J231&lt;&gt;0,(MAX($J$216:$J$234)-(J231 - 1))/$J$235,0)</f>
        <v/>
      </c>
      <c r="L231" s="81">
        <f>K231*$L$213</f>
        <v/>
      </c>
      <c r="M231" s="80">
        <f>IFERROR(IF(AND(G231 &lt;&gt; 0,L231 / _xlfn.XLOOKUP('3. Food costs'!C64,Table2[Item],Table2[Energy (kcal) per 100g edible portion],0) * 100 &gt;G231 - F231),IF(G231-F231&lt;0,0,G231-F231), L231 / _xlfn.XLOOKUP('3. Food costs'!C64,Table2[Item],Table2[Energy (kcal) per 100g edible portion],0) * 100),0)</f>
        <v/>
      </c>
      <c r="N231" s="80">
        <f>M231+F231</f>
        <v/>
      </c>
      <c r="O231" s="80">
        <f>N231*_xlfn.XLOOKUP('3. Food costs'!C64,Table2[Item],Table2[Energy (kcal) per 100g edible portion],0) / 100</f>
        <v/>
      </c>
      <c r="P231" s="80">
        <f>IF(AND(E231&lt;&gt;0,OR(N231&lt;G231,G231=0)),I231,"")</f>
        <v/>
      </c>
      <c r="Q231" s="80">
        <f>IFERROR(_xlfn.RANK.EQ(P231,$P$216:$P$234,1),0)</f>
        <v/>
      </c>
      <c r="R231" s="80">
        <f>IF(Q231&lt;&gt;0,(MAX($Q$216:$Q$234)-(Q231 - 1))/$Q$235,0)</f>
        <v/>
      </c>
      <c r="S231" s="80">
        <f>R231*$S$213</f>
        <v/>
      </c>
      <c r="T231" s="80">
        <f>IFERROR(IF(AND(G231&lt;&gt; 0, (S231)/ _xlfn.XLOOKUP('3. Food costs'!C64,Table2[Item],Table2[Energy (kcal) per 100g edible portion],0) * 100 &gt;G231 - N231),IF(G231-N231&lt;0,0,G231-N231), (S231)/ _xlfn.XLOOKUP('3. Food costs'!C64,Table2[Item],Table2[Energy (kcal) per 100g edible portion],0) * 100),0)</f>
        <v/>
      </c>
      <c r="U231" s="80">
        <f>T231 + N231</f>
        <v/>
      </c>
      <c r="V231" s="80">
        <f>U231*_xlfn.XLOOKUP('3. Food costs'!C64,Table2[Item],Table2[Energy (kcal) per 100g edible portion],0) / 100</f>
        <v/>
      </c>
      <c r="W231" s="80">
        <f>IF(AND(E231&lt;&gt;0,OR(U231&lt;G231,G231=0)),I231,"")</f>
        <v/>
      </c>
      <c r="X231" s="80">
        <f>IFERROR(_xlfn.RANK.EQ(W231,$W$216:$W$234,1),0)</f>
        <v/>
      </c>
      <c r="Y231" s="80">
        <f>IF(X231&lt;&gt;0,(MAX($X$216:$X$234)-(X231 - 1))/$W$235,0)</f>
        <v/>
      </c>
      <c r="Z231" s="80">
        <f>Y231 *$Y$213</f>
        <v/>
      </c>
      <c r="AA231" s="80">
        <f>IFERROR(IF(AND(G231 &lt;&gt;0, Z231 / _xlfn.XLOOKUP('3. Food costs'!C64,Table2[Item],Table2[Energy (kcal) per 100g edible portion],0) * 100 &gt;G231 - U231),IF(G231-U231&lt;0,0,G231-U231), Z231 / _xlfn.XLOOKUP('3. Food costs'!C64,Table2[Item],Table2[Energy (kcal) per 100g edible portion],0) * 100),0)</f>
        <v/>
      </c>
      <c r="AB231" s="82">
        <f>AA231 + U231</f>
        <v/>
      </c>
      <c r="AC231" s="73">
        <f>AB231*_xlfn.XLOOKUP(C231,Table2[Item],Table2[Energy (kcal) per 100g edible portion],0) / 100</f>
        <v/>
      </c>
      <c r="AD231" s="80">
        <f>AB231*_xlfn.XLOOKUP(C231,Table2[Item],Table2[Carbohydrate (g)],0) / 100</f>
        <v/>
      </c>
      <c r="AE231" s="80">
        <f>AB231*_xlfn.XLOOKUP(C231,Table2[Item],Table2[Protein (g)],0) / 100</f>
        <v/>
      </c>
      <c r="AF231" s="80">
        <f>AB231*_xlfn.XLOOKUP(C231,Table2[Item],Table2[Fat, total (g)],0) / 100</f>
        <v/>
      </c>
    </row>
    <row r="232">
      <c r="A232" s="22">
        <f>COUNTIFS($B$216:B232,B232)</f>
        <v/>
      </c>
      <c r="B232" s="22">
        <f>'Nutritional input'!C128</f>
        <v/>
      </c>
      <c r="C232" s="22">
        <f>'Nutritional input'!D128</f>
        <v/>
      </c>
      <c r="D232" s="45">
        <f>IF(ISBLANK('Nutritional input'!E128),A232,VLOOKUP('Nutritional input'!E128,'Background calculations'!$B$202:$C$206,2,FALSE))</f>
        <v/>
      </c>
      <c r="E232" s="80">
        <f>_xlfn.XLOOKUP('3. Food costs'!C65,Table2[Item],Table2[Price per calorie],0)</f>
        <v/>
      </c>
      <c r="F232" s="80">
        <f>'Nutritional input'!F128</f>
        <v/>
      </c>
      <c r="G232" s="80">
        <f>'Nutritional input'!G128</f>
        <v/>
      </c>
      <c r="H232" s="80">
        <f>F232*_xlfn.XLOOKUP('3. Food costs'!C65,Table2[Item],Table2[Energy (kcal) per 100g edible portion],0) / 100</f>
        <v/>
      </c>
      <c r="I232" s="80">
        <f>IF(AND(E232&lt;&gt;0,OR(F232&lt;G232,G232=0,)), E232,"")</f>
        <v/>
      </c>
      <c r="J232" s="80">
        <f>IFERROR(_xlfn.RANK.EQ(I232,$I$216:$I$234,1),0)</f>
        <v/>
      </c>
      <c r="K232" s="508">
        <f>IF(J232&lt;&gt;0,(MAX($J$216:$J$234)-(J232 - 1))/$J$235,0)</f>
        <v/>
      </c>
      <c r="L232" s="81">
        <f>K232*$L$213</f>
        <v/>
      </c>
      <c r="M232" s="80">
        <f>IFERROR(IF(AND(G232 &lt;&gt; 0,L232 / _xlfn.XLOOKUP('3. Food costs'!C65,Table2[Item],Table2[Energy (kcal) per 100g edible portion],0) * 100 &gt;G232 - F232),IF(G232-F232&lt;0,0,G232-F232), L232 / _xlfn.XLOOKUP('3. Food costs'!C65,Table2[Item],Table2[Energy (kcal) per 100g edible portion],0) * 100),0)</f>
        <v/>
      </c>
      <c r="N232" s="80">
        <f>M232+F232</f>
        <v/>
      </c>
      <c r="O232" s="80">
        <f>N232*_xlfn.XLOOKUP('3. Food costs'!C65,Table2[Item],Table2[Energy (kcal) per 100g edible portion],0) / 100</f>
        <v/>
      </c>
      <c r="P232" s="80">
        <f>IF(AND(E232&lt;&gt;0,OR(N232&lt;G232,G232=0)),I232,"")</f>
        <v/>
      </c>
      <c r="Q232" s="80">
        <f>IFERROR(_xlfn.RANK.EQ(P232,$P$216:$P$234,1),0)</f>
        <v/>
      </c>
      <c r="R232" s="80">
        <f>IF(Q232&lt;&gt;0,(MAX($Q$216:$Q$234)-(Q232 - 1))/$Q$235,0)</f>
        <v/>
      </c>
      <c r="S232" s="80">
        <f>R232*$S$213</f>
        <v/>
      </c>
      <c r="T232" s="80">
        <f>IFERROR(IF(AND(G232&lt;&gt; 0, (S232)/ _xlfn.XLOOKUP('3. Food costs'!C65,Table2[Item],Table2[Energy (kcal) per 100g edible portion],0) * 100 &gt;G232 - N232),IF(G232-N232&lt;0,0,G232-N232), (S232)/ _xlfn.XLOOKUP('3. Food costs'!C65,Table2[Item],Table2[Energy (kcal) per 100g edible portion],0) * 100),0)</f>
        <v/>
      </c>
      <c r="U232" s="80">
        <f>T232 + N232</f>
        <v/>
      </c>
      <c r="V232" s="80">
        <f>U232*_xlfn.XLOOKUP('3. Food costs'!C65,Table2[Item],Table2[Energy (kcal) per 100g edible portion],0) / 100</f>
        <v/>
      </c>
      <c r="W232" s="80">
        <f>IF(AND(E232&lt;&gt;0,OR(U232&lt;G232,G232=0)),I232,"")</f>
        <v/>
      </c>
      <c r="X232" s="80">
        <f>IFERROR(_xlfn.RANK.EQ(W232,$W$216:$W$234,1),0)</f>
        <v/>
      </c>
      <c r="Y232" s="80">
        <f>IF(X232&lt;&gt;0,(MAX($X$216:$X$234)-(X232 - 1))/$W$235,0)</f>
        <v/>
      </c>
      <c r="Z232" s="80">
        <f>Y232 *$Y$213</f>
        <v/>
      </c>
      <c r="AA232" s="80">
        <f>IFERROR(IF(AND(G232 &lt;&gt;0, Z232 / _xlfn.XLOOKUP('3. Food costs'!C65,Table2[Item],Table2[Energy (kcal) per 100g edible portion],0) * 100 &gt;G232 - U232),IF(G232-U232&lt;0,0,G232-U232), Z232 / _xlfn.XLOOKUP('3. Food costs'!C65,Table2[Item],Table2[Energy (kcal) per 100g edible portion],0) * 100),0)</f>
        <v/>
      </c>
      <c r="AB232" s="82">
        <f>AA232 + U232</f>
        <v/>
      </c>
      <c r="AC232" s="73">
        <f>AB232*_xlfn.XLOOKUP(C232,Table2[Item],Table2[Energy (kcal) per 100g edible portion],0) / 100</f>
        <v/>
      </c>
      <c r="AD232" s="80">
        <f>AB232*_xlfn.XLOOKUP(C232,Table2[Item],Table2[Carbohydrate (g)],0) / 100</f>
        <v/>
      </c>
      <c r="AE232" s="80">
        <f>AB232*_xlfn.XLOOKUP(C232,Table2[Item],Table2[Protein (g)],0) / 100</f>
        <v/>
      </c>
      <c r="AF232" s="80">
        <f>AB232*_xlfn.XLOOKUP(C232,Table2[Item],Table2[Fat, total (g)],0) / 100</f>
        <v/>
      </c>
    </row>
    <row r="233">
      <c r="A233" s="22">
        <f>COUNTIFS($B$216:B233,B233)</f>
        <v/>
      </c>
      <c r="B233" s="22">
        <f>'Nutritional input'!C129</f>
        <v/>
      </c>
      <c r="C233" s="22">
        <f>'Nutritional input'!D129</f>
        <v/>
      </c>
      <c r="D233" s="45">
        <f>IF(ISBLANK('Nutritional input'!E129),A233,VLOOKUP('Nutritional input'!E129,'Background calculations'!$B$202:$C$206,2,FALSE))</f>
        <v/>
      </c>
      <c r="E233" s="80">
        <f>_xlfn.XLOOKUP('3. Food costs'!C66,Table2[Item],Table2[Price per calorie],0)</f>
        <v/>
      </c>
      <c r="F233" s="80">
        <f>'Nutritional input'!F129</f>
        <v/>
      </c>
      <c r="G233" s="80">
        <f>'Nutritional input'!G129</f>
        <v/>
      </c>
      <c r="H233" s="80">
        <f>F233*_xlfn.XLOOKUP('3. Food costs'!C66,Table2[Item],Table2[Energy (kcal) per 100g edible portion],0) / 100</f>
        <v/>
      </c>
      <c r="I233" s="80">
        <f>IF(AND(E233&lt;&gt;0,OR(F233&lt;G233,G233=0,)), E233,"")</f>
        <v/>
      </c>
      <c r="J233" s="80">
        <f>IFERROR(_xlfn.RANK.EQ(I233,$I$216:$I$234,1),0)</f>
        <v/>
      </c>
      <c r="K233" s="508">
        <f>IF(J233&lt;&gt;0,(MAX($J$216:$J$234)-(J233 - 1))/$J$235,0)</f>
        <v/>
      </c>
      <c r="L233" s="81">
        <f>K233*$L$213</f>
        <v/>
      </c>
      <c r="M233" s="80">
        <f>IFERROR(IF(AND(G233 &lt;&gt; 0,L233 / _xlfn.XLOOKUP('3. Food costs'!C66,Table2[Item],Table2[Energy (kcal) per 100g edible portion],0) * 100 &gt;G233 - F233),IF(G233-F233&lt;0,0,G233-F233), L233 / _xlfn.XLOOKUP('3. Food costs'!C66,Table2[Item],Table2[Energy (kcal) per 100g edible portion],0) * 100),0)</f>
        <v/>
      </c>
      <c r="N233" s="80">
        <f>M233+F233</f>
        <v/>
      </c>
      <c r="O233" s="80">
        <f>N233*_xlfn.XLOOKUP('3. Food costs'!C66,Table2[Item],Table2[Energy (kcal) per 100g edible portion],0) / 100</f>
        <v/>
      </c>
      <c r="P233" s="80">
        <f>IF(AND(E233&lt;&gt;0,OR(N233&lt;G233,G233=0)),I233,"")</f>
        <v/>
      </c>
      <c r="Q233" s="80">
        <f>IFERROR(_xlfn.RANK.EQ(P233,$P$216:$P$234,1),0)</f>
        <v/>
      </c>
      <c r="R233" s="80">
        <f>IF(Q233&lt;&gt;0,(MAX($Q$216:$Q$234)-(Q233 - 1))/$Q$235,0)</f>
        <v/>
      </c>
      <c r="S233" s="80">
        <f>R233*$S$213</f>
        <v/>
      </c>
      <c r="T233" s="80">
        <f>IFERROR(IF(AND(G233&lt;&gt; 0, (S233)/ _xlfn.XLOOKUP('3. Food costs'!C66,Table2[Item],Table2[Energy (kcal) per 100g edible portion],0) * 100 &gt;G233 - N233),IF(G233-N233&lt;0,0,G233-N233), (S233)/ _xlfn.XLOOKUP('3. Food costs'!C66,Table2[Item],Table2[Energy (kcal) per 100g edible portion],0) * 100),0)</f>
        <v/>
      </c>
      <c r="U233" s="80">
        <f>T233 + N233</f>
        <v/>
      </c>
      <c r="V233" s="80">
        <f>U233*_xlfn.XLOOKUP('3. Food costs'!C66,Table2[Item],Table2[Energy (kcal) per 100g edible portion],0) / 100</f>
        <v/>
      </c>
      <c r="W233" s="80">
        <f>IF(AND(E233&lt;&gt;0,OR(U233&lt;G233,G233=0)),I233,"")</f>
        <v/>
      </c>
      <c r="X233" s="80">
        <f>IFERROR(_xlfn.RANK.EQ(W233,$W$216:$W$234,1),0)</f>
        <v/>
      </c>
      <c r="Y233" s="80">
        <f>IF(X233&lt;&gt;0,(MAX($X$216:$X$234)-(X233 - 1))/$W$235,0)</f>
        <v/>
      </c>
      <c r="Z233" s="80">
        <f>Y233 *$Y$213</f>
        <v/>
      </c>
      <c r="AA233" s="80">
        <f>IFERROR(IF(AND(G233 &lt;&gt;0, Z233 / _xlfn.XLOOKUP('3. Food costs'!C66,Table2[Item],Table2[Energy (kcal) per 100g edible portion],0) * 100 &gt;G233 - U233),IF(G233-U233&lt;0,0,G233-U233), Z233 / _xlfn.XLOOKUP('3. Food costs'!C66,Table2[Item],Table2[Energy (kcal) per 100g edible portion],0) * 100),0)</f>
        <v/>
      </c>
      <c r="AB233" s="82">
        <f>AA233 + U233</f>
        <v/>
      </c>
      <c r="AC233" s="73">
        <f>AB233*_xlfn.XLOOKUP(C233,Table2[Item],Table2[Energy (kcal) per 100g edible portion],0) / 100</f>
        <v/>
      </c>
      <c r="AD233" s="80">
        <f>AB233*_xlfn.XLOOKUP(C233,Table2[Item],Table2[Carbohydrate (g)],0) / 100</f>
        <v/>
      </c>
      <c r="AE233" s="80">
        <f>AB233*_xlfn.XLOOKUP(C233,Table2[Item],Table2[Protein (g)],0) / 100</f>
        <v/>
      </c>
      <c r="AF233" s="80">
        <f>AB233*_xlfn.XLOOKUP(C233,Table2[Item],Table2[Fat, total (g)],0) / 100</f>
        <v/>
      </c>
    </row>
    <row r="234">
      <c r="A234" s="22">
        <f>COUNTIFS($B$216:B234,B234)</f>
        <v/>
      </c>
      <c r="B234" s="22">
        <f>'Nutritional input'!C130</f>
        <v/>
      </c>
      <c r="C234" s="22">
        <f>'Nutritional input'!D130</f>
        <v/>
      </c>
      <c r="D234" s="45">
        <f>IF(ISBLANK('Nutritional input'!E130),A234,VLOOKUP('Nutritional input'!E130,'Background calculations'!$B$202:$C$206,2,FALSE))</f>
        <v/>
      </c>
      <c r="E234" s="80">
        <f>_xlfn.XLOOKUP('3. Food costs'!C67,Table2[Item],Table2[Price per calorie],0)</f>
        <v/>
      </c>
      <c r="F234" s="80">
        <f>'Nutritional input'!F130</f>
        <v/>
      </c>
      <c r="G234" s="80">
        <f>'Nutritional input'!G130</f>
        <v/>
      </c>
      <c r="H234" s="80">
        <f>F234*_xlfn.XLOOKUP('3. Food costs'!C67,Table2[Item],Table2[Energy (kcal) per 100g edible portion],0) / 100</f>
        <v/>
      </c>
      <c r="I234" s="80">
        <f>IF(AND(E234&lt;&gt;0,OR(F234&lt;G234,G234=0,)), E234,"")</f>
        <v/>
      </c>
      <c r="J234" s="80">
        <f>IFERROR(_xlfn.RANK.EQ(I234,$I$216:$I$234,1),0)</f>
        <v/>
      </c>
      <c r="K234" s="508">
        <f>IF(J234&lt;&gt;0,(MAX($J$216:$J$234)-(J234 - 1))/$J$235,0)</f>
        <v/>
      </c>
      <c r="L234" s="81">
        <f>K234*$L$213</f>
        <v/>
      </c>
      <c r="M234" s="80">
        <f>IFERROR(IF(AND(G234 &lt;&gt; 0,L234 / _xlfn.XLOOKUP('3. Food costs'!C67,Table2[Item],Table2[Energy (kcal) per 100g edible portion],0) * 100 &gt;G234 - F234),IF(G234-F234&lt;0,0,G234-F234), L234 / _xlfn.XLOOKUP('3. Food costs'!C67,Table2[Item],Table2[Energy (kcal) per 100g edible portion],0) * 100),0)</f>
        <v/>
      </c>
      <c r="N234" s="80">
        <f>M234+F234</f>
        <v/>
      </c>
      <c r="O234" s="80">
        <f>N234*_xlfn.XLOOKUP('3. Food costs'!C67,Table2[Item],Table2[Energy (kcal) per 100g edible portion],0) / 100</f>
        <v/>
      </c>
      <c r="P234" s="80">
        <f>IF(AND(E234&lt;&gt;0,OR(N234&lt;G234,G234=0)),I234,"")</f>
        <v/>
      </c>
      <c r="Q234" s="80">
        <f>IFERROR(_xlfn.RANK.EQ(P234,$P$216:$P$234,1),0)</f>
        <v/>
      </c>
      <c r="R234" s="80">
        <f>IF(Q234&lt;&gt;0,(MAX($Q$216:$Q$234)-(Q234 - 1))/$Q$235,0)</f>
        <v/>
      </c>
      <c r="S234" s="80">
        <f>R234*$S$213</f>
        <v/>
      </c>
      <c r="T234" s="80">
        <f>IFERROR(IF(AND(G234&lt;&gt; 0, (S234)/ _xlfn.XLOOKUP('3. Food costs'!C67,Table2[Item],Table2[Energy (kcal) per 100g edible portion],0) * 100 &gt;G234 - N234),IF(G234-N234&lt;0,0,G234-N234), (S234)/ _xlfn.XLOOKUP('3. Food costs'!C67,Table2[Item],Table2[Energy (kcal) per 100g edible portion],0) * 100),0)</f>
        <v/>
      </c>
      <c r="U234" s="80">
        <f>T234 + N234</f>
        <v/>
      </c>
      <c r="V234" s="80">
        <f>U234*_xlfn.XLOOKUP('3. Food costs'!C67,Table2[Item],Table2[Energy (kcal) per 100g edible portion],0) / 100</f>
        <v/>
      </c>
      <c r="W234" s="80">
        <f>IF(AND(E234&lt;&gt;0,OR(U234&lt;G234,G234=0)),I234,"")</f>
        <v/>
      </c>
      <c r="X234" s="80">
        <f>IFERROR(_xlfn.RANK.EQ(W234,$W$216:$W$234,1),0)</f>
        <v/>
      </c>
      <c r="Y234" s="80">
        <f>IF(X234&lt;&gt;0,(MAX($X$216:$X$234)-(X234 - 1))/$W$235,0)</f>
        <v/>
      </c>
      <c r="Z234" s="80">
        <f>Y234 *$Y$213</f>
        <v/>
      </c>
      <c r="AA234" s="80">
        <f>IFERROR(IF(AND(G234 &lt;&gt;0, Z234 / _xlfn.XLOOKUP('3. Food costs'!C67,Table2[Item],Table2[Energy (kcal) per 100g edible portion],0) * 100 &gt;G234 - U234),IF(G234-U234&lt;0,0,G234-U234), Z234 / _xlfn.XLOOKUP('3. Food costs'!C67,Table2[Item],Table2[Energy (kcal) per 100g edible portion],0) * 100),0)</f>
        <v/>
      </c>
      <c r="AB234" s="82">
        <f>AA234 + U234</f>
        <v/>
      </c>
      <c r="AC234" s="73">
        <f>AB234*_xlfn.XLOOKUP(C234,Table2[Item],Table2[Energy (kcal) per 100g edible portion],0) / 100</f>
        <v/>
      </c>
      <c r="AD234" s="80">
        <f>AB234*_xlfn.XLOOKUP(C234,Table2[Item],Table2[Carbohydrate (g)],0) / 100</f>
        <v/>
      </c>
      <c r="AE234" s="80">
        <f>AB234*_xlfn.XLOOKUP(C234,Table2[Item],Table2[Protein (g)],0) / 100</f>
        <v/>
      </c>
      <c r="AF234" s="80">
        <f>AB234*_xlfn.XLOOKUP(C234,Table2[Item],Table2[Fat, total (g)],0) / 100</f>
        <v/>
      </c>
    </row>
    <row r="235">
      <c r="E235" s="510" t="n"/>
      <c r="H235" s="511">
        <f>SUM(H216:H234)</f>
        <v/>
      </c>
      <c r="J235" s="511">
        <f>SUM(J216:J234)</f>
        <v/>
      </c>
      <c r="O235" s="511">
        <f>SUM(O216:O234)</f>
        <v/>
      </c>
      <c r="Q235" s="511">
        <f>SUM(Q216:Q234)</f>
        <v/>
      </c>
      <c r="V235" s="37">
        <f>SUM(V216:V234)</f>
        <v/>
      </c>
      <c r="W235" s="511">
        <f>SUM(X216:X234)</f>
        <v/>
      </c>
      <c r="AB235" s="60" t="inlineStr">
        <is>
          <t>FINAL CALC</t>
        </is>
      </c>
      <c r="AC235" s="85">
        <f>SUM(AC216:AC234)</f>
        <v/>
      </c>
    </row>
    <row r="236">
      <c r="S236" s="495" t="n"/>
    </row>
    <row r="237" ht="19" customHeight="1">
      <c r="B237" s="74" t="inlineStr">
        <is>
          <t>Total Consumption Values</t>
        </is>
      </c>
    </row>
    <row r="239">
      <c r="B239" s="87" t="n"/>
      <c r="C239" s="88" t="inlineStr">
        <is>
          <t>Calories</t>
        </is>
      </c>
      <c r="D239" s="88" t="inlineStr">
        <is>
          <t>Carbs</t>
        </is>
      </c>
      <c r="E239" s="88" t="inlineStr">
        <is>
          <t>Proteins</t>
        </is>
      </c>
      <c r="F239" s="88" t="inlineStr">
        <is>
          <t>Fats</t>
        </is>
      </c>
      <c r="R239" s="495" t="n"/>
    </row>
    <row r="240">
      <c r="B240" s="60" t="inlineStr">
        <is>
          <t>Totals</t>
        </is>
      </c>
      <c r="C240" s="512">
        <f>SUM(AC216:AC234)</f>
        <v/>
      </c>
      <c r="D240" s="512">
        <f>SUM(AD216:AD234)</f>
        <v/>
      </c>
      <c r="E240" s="512">
        <f>SUM(AE216:AE234)</f>
        <v/>
      </c>
      <c r="F240" s="512">
        <f>SUM(AF216:AF234)</f>
        <v/>
      </c>
    </row>
    <row r="241">
      <c r="B241" s="22" t="inlineStr">
        <is>
          <t>Conversion factor</t>
        </is>
      </c>
      <c r="D241" s="90" t="n">
        <v>4</v>
      </c>
      <c r="E241" s="90" t="n">
        <v>4</v>
      </c>
      <c r="F241" s="90" t="n">
        <v>9</v>
      </c>
    </row>
    <row r="242">
      <c r="B242" s="22" t="inlineStr">
        <is>
          <t>Energy equivalences</t>
        </is>
      </c>
      <c r="D242" s="512">
        <f>'Background calculations'!D241*'Background calculations'!D240</f>
        <v/>
      </c>
      <c r="E242" s="512">
        <f>'Background calculations'!E241*'Background calculations'!E240</f>
        <v/>
      </c>
      <c r="F242" s="512">
        <f>'Background calculations'!F241*'Background calculations'!F240</f>
        <v/>
      </c>
    </row>
    <row r="243">
      <c r="B243" s="22" t="inlineStr">
        <is>
          <t>Contribution to diet</t>
        </is>
      </c>
      <c r="D243" s="513">
        <f>D242/$C$240</f>
        <v/>
      </c>
      <c r="E243" s="513">
        <f>E242/$C$240</f>
        <v/>
      </c>
      <c r="F243" s="513">
        <f>F242/$C$240</f>
        <v/>
      </c>
    </row>
    <row r="246">
      <c r="G246" s="495">
        <f>SUM(H246:J246)</f>
        <v/>
      </c>
      <c r="H246" s="495" t="n"/>
      <c r="I246" s="495" t="n"/>
      <c r="J246" s="495" t="n"/>
    </row>
    <row r="247" ht="19" customHeight="1">
      <c r="B247" s="74" t="inlineStr">
        <is>
          <t>Dietary references calories per day</t>
        </is>
      </c>
    </row>
    <row r="248">
      <c r="E248" s="324" t="inlineStr">
        <is>
          <t>Portion of calories in each meal</t>
        </is>
      </c>
      <c r="F248" s="91" t="n"/>
    </row>
    <row r="249">
      <c r="B249" s="87" t="inlineStr">
        <is>
          <t>Adult male equivalent</t>
        </is>
      </c>
      <c r="C249" s="91" t="inlineStr">
        <is>
          <t>Deviation factors</t>
        </is>
      </c>
      <c r="E249" s="22" t="inlineStr">
        <is>
          <t>Breakfast</t>
        </is>
      </c>
      <c r="F249" s="90" t="n">
        <v>0.2</v>
      </c>
    </row>
    <row r="250">
      <c r="B250" s="22" t="inlineStr">
        <is>
          <t>Adult female</t>
        </is>
      </c>
      <c r="C250" s="90" t="n">
        <v>0.82</v>
      </c>
      <c r="E250" s="22" t="inlineStr">
        <is>
          <t>Lunch</t>
        </is>
      </c>
      <c r="F250" s="90" t="n">
        <v>0.4</v>
      </c>
    </row>
    <row r="251">
      <c r="B251" s="22" t="inlineStr">
        <is>
          <t>Children (0 - 18)</t>
        </is>
      </c>
      <c r="C251" s="90" t="n">
        <v>0.75</v>
      </c>
      <c r="E251" s="22" t="inlineStr">
        <is>
          <t>Dinner</t>
        </is>
      </c>
      <c r="F251" s="90" t="n">
        <v>0.4</v>
      </c>
    </row>
    <row r="252">
      <c r="B252" s="22" t="inlineStr">
        <is>
          <t>Source: https://link.springer.com/article/10.1007/s12571-020-01099-8</t>
        </is>
      </c>
      <c r="E252" s="22" t="inlineStr">
        <is>
          <t>Source: Anker</t>
        </is>
      </c>
    </row>
    <row r="253" ht="21.75" customFormat="1" customHeight="1" s="25">
      <c r="A253" s="22" t="n"/>
      <c r="B253" s="22" t="n"/>
      <c r="C253" s="22" t="n"/>
      <c r="D253" s="22" t="n"/>
      <c r="E253" s="22" t="n"/>
      <c r="F253" s="22" t="n"/>
      <c r="G253" s="22" t="n"/>
      <c r="H253" s="22" t="n"/>
      <c r="I253" s="22" t="n"/>
      <c r="J253" s="22" t="n"/>
      <c r="K253" s="22" t="n"/>
      <c r="L253" s="22" t="n"/>
      <c r="M253" s="22" t="n"/>
      <c r="N253" s="22" t="n"/>
      <c r="O253" s="22" t="n"/>
      <c r="P253" s="22" t="n"/>
      <c r="R253" s="22" t="n"/>
      <c r="S253" s="22" t="n"/>
      <c r="T253" s="22" t="n"/>
      <c r="U253" s="22" t="n"/>
      <c r="V253" s="22" t="n"/>
      <c r="W253" s="22" t="n"/>
      <c r="X253" s="22" t="n"/>
      <c r="Y253" s="22" t="n"/>
      <c r="Z253" s="22" t="n"/>
      <c r="AA253" s="22" t="n"/>
      <c r="AB253" s="22" t="n"/>
      <c r="AC253" s="22" t="n"/>
      <c r="AD253" s="22" t="n"/>
      <c r="AE253" s="22" t="n"/>
      <c r="AF253" s="22" t="n"/>
      <c r="AG253" s="22" t="n"/>
      <c r="AH253" s="22" t="n"/>
      <c r="AI253" s="22" t="n"/>
    </row>
    <row r="254" ht="21" customHeight="1">
      <c r="A254" s="25" t="n"/>
      <c r="B254" s="24" t="inlineStr">
        <is>
          <t>IV. NFNH costs</t>
        </is>
      </c>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c r="AA254" s="25" t="n"/>
      <c r="AB254" s="25" t="n"/>
      <c r="AC254" s="25" t="n"/>
      <c r="AD254" s="25" t="n"/>
      <c r="AE254" s="25" t="n"/>
      <c r="AF254" s="25" t="n"/>
      <c r="AG254" s="25" t="n"/>
      <c r="AH254" s="25" t="n"/>
      <c r="AI254" s="25" t="n"/>
    </row>
    <row r="257">
      <c r="B257" s="28" t="inlineStr">
        <is>
          <t>1a) Post-checks</t>
        </is>
      </c>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row>
    <row r="259">
      <c r="C259" s="92" t="inlineStr">
        <is>
          <t>Unit</t>
        </is>
      </c>
      <c r="D259" s="75" t="n"/>
      <c r="E259" s="75" t="n"/>
      <c r="F259" s="75" t="n"/>
      <c r="G259" s="75" t="n"/>
      <c r="H259" s="75" t="n"/>
      <c r="I259" s="75" t="n"/>
      <c r="J259" s="75" t="n"/>
      <c r="K259" s="75" t="n"/>
      <c r="L259" s="75" t="n"/>
      <c r="M259" s="75" t="n"/>
      <c r="N259" s="75" t="n"/>
      <c r="O259" s="75" t="n"/>
      <c r="P259" s="75" t="n"/>
      <c r="Q259" s="75" t="n"/>
    </row>
    <row r="260">
      <c r="B260" s="93" t="inlineStr">
        <is>
          <t>Education</t>
        </is>
      </c>
      <c r="C260" s="94" t="n"/>
      <c r="D260" s="95" t="n"/>
      <c r="E260" s="95" t="n"/>
      <c r="F260" s="95" t="n"/>
      <c r="G260" s="95" t="n"/>
      <c r="H260" s="95" t="n"/>
      <c r="I260" s="95" t="n"/>
      <c r="J260" s="95" t="n"/>
      <c r="K260" s="95" t="n"/>
      <c r="L260" s="95" t="n"/>
      <c r="M260" s="95" t="n"/>
      <c r="N260" s="95" t="n"/>
      <c r="O260" s="95" t="n"/>
      <c r="P260" s="95" t="n"/>
      <c r="Q260" s="95" t="n"/>
      <c r="R260" s="93" t="n"/>
    </row>
    <row r="261" ht="16" customHeight="1">
      <c r="B261" s="96" t="inlineStr">
        <is>
          <t>Education costs per person</t>
        </is>
      </c>
      <c r="C261" s="97" t="inlineStr">
        <is>
          <t>LCU/person/month</t>
        </is>
      </c>
      <c r="D261" s="98">
        <f>IFERROR('CLS - Input data'!D32/'CLS - Input data'!D22,"")</f>
        <v/>
      </c>
      <c r="E261" s="98">
        <f>IFERROR('CLS - Input data'!E32/'CLS - Input data'!E22,"")</f>
        <v/>
      </c>
      <c r="F261" s="98">
        <f>IFERROR('CLS - Input data'!F32/'CLS - Input data'!F22,"")</f>
        <v/>
      </c>
      <c r="G261" s="98">
        <f>IFERROR('CLS - Input data'!G32/'CLS - Input data'!G22,"")</f>
        <v/>
      </c>
      <c r="H261" s="98">
        <f>IFERROR('CLS - Input data'!H32/'CLS - Input data'!H22,"")</f>
        <v/>
      </c>
      <c r="I261" s="98">
        <f>IFERROR('CLS - Input data'!I32/'CLS - Input data'!I22,"")</f>
        <v/>
      </c>
      <c r="J261" s="98">
        <f>IFERROR('CLS - Input data'!J32/'CLS - Input data'!J22,"")</f>
        <v/>
      </c>
      <c r="K261" s="98">
        <f>IFERROR('CLS - Input data'!K32/'CLS - Input data'!K22,"")</f>
        <v/>
      </c>
      <c r="L261" s="98">
        <f>IFERROR('CLS - Input data'!L32/'CLS - Input data'!L22,"")</f>
        <v/>
      </c>
      <c r="M261" s="98">
        <f>IFERROR('CLS - Input data'!M32/'CLS - Input data'!M22,"")</f>
        <v/>
      </c>
      <c r="N261" s="98">
        <f>IFERROR('CLS - Input data'!N32/'CLS - Input data'!N22,"")</f>
        <v/>
      </c>
      <c r="O261" s="98">
        <f>IFERROR('CLS - Input data'!O32/'CLS - Input data'!O22,"")</f>
        <v/>
      </c>
      <c r="P261" s="98">
        <f>IFERROR('CLS - Input data'!P32/'CLS - Input data'!P22,"")</f>
        <v/>
      </c>
      <c r="Q261" s="98">
        <f>IFERROR('CLS - Input data'!Q32/'CLS - Input data'!Q22,"")</f>
        <v/>
      </c>
      <c r="R261" s="98">
        <f>IFERROR('CLS - Input data'!R32/'CLS - Input data'!R22,"")</f>
        <v/>
      </c>
    </row>
    <row r="262" ht="32" customHeight="1">
      <c r="B262" s="96" t="inlineStr">
        <is>
          <t>Average monthly expenses per person in education</t>
        </is>
      </c>
      <c r="C262" s="99" t="inlineStr">
        <is>
          <t>LCU/person/month</t>
        </is>
      </c>
      <c r="D262" s="98">
        <f>AVERAGEIF(D261:R261,"&gt;0",D261:R261)</f>
        <v/>
      </c>
      <c r="E262" s="100" t="n"/>
      <c r="F262" s="100" t="n"/>
      <c r="G262" s="100" t="n"/>
      <c r="H262" s="100" t="n"/>
      <c r="I262" s="100" t="n"/>
      <c r="J262" s="100" t="n"/>
      <c r="K262" s="100" t="n"/>
      <c r="L262" s="100" t="n"/>
      <c r="M262" s="100" t="n"/>
      <c r="N262" s="100" t="n"/>
      <c r="O262" s="100" t="n"/>
      <c r="P262" s="100" t="n"/>
      <c r="Q262" s="100" t="n"/>
      <c r="R262" s="100" t="n"/>
    </row>
    <row r="263" ht="32" customHeight="1">
      <c r="B263" s="96" t="inlineStr">
        <is>
          <t>Average monthly expenses per person in education</t>
        </is>
      </c>
      <c r="C263" s="99" t="inlineStr">
        <is>
          <t>USD/person/month</t>
        </is>
      </c>
      <c r="D263" s="98">
        <f>D262/'OUTPUT_Living wage'!$E$10</f>
        <v/>
      </c>
      <c r="E263" s="100" t="n"/>
      <c r="F263" s="100" t="n"/>
      <c r="G263" s="100" t="n"/>
      <c r="H263" s="100" t="n"/>
      <c r="I263" s="100" t="n"/>
      <c r="J263" s="100" t="n"/>
      <c r="K263" s="100" t="n"/>
      <c r="L263" s="100" t="n"/>
      <c r="M263" s="100" t="n"/>
      <c r="N263" s="100" t="n"/>
      <c r="O263" s="100" t="n"/>
      <c r="P263" s="100" t="n"/>
      <c r="Q263" s="100" t="n"/>
      <c r="R263" s="100" t="n"/>
    </row>
    <row r="264">
      <c r="B264" s="101" t="n"/>
      <c r="C264" s="102" t="n"/>
      <c r="D264" s="100" t="n"/>
      <c r="E264" s="100" t="n"/>
      <c r="F264" s="100" t="n"/>
      <c r="G264" s="100" t="n"/>
      <c r="H264" s="100" t="n"/>
      <c r="I264" s="100" t="n"/>
      <c r="J264" s="100" t="n"/>
      <c r="K264" s="100" t="n"/>
      <c r="L264" s="100" t="n"/>
      <c r="M264" s="100" t="n"/>
      <c r="N264" s="100" t="n"/>
      <c r="O264" s="100" t="n"/>
      <c r="P264" s="100" t="n"/>
      <c r="Q264" s="100" t="n"/>
      <c r="R264" s="100" t="n"/>
    </row>
    <row r="265">
      <c r="B265" s="93" t="inlineStr">
        <is>
          <t>Healthcare</t>
        </is>
      </c>
      <c r="C265" s="94" t="n"/>
      <c r="D265" s="95" t="n"/>
      <c r="E265" s="95" t="n"/>
      <c r="F265" s="95" t="n"/>
      <c r="G265" s="95" t="n"/>
      <c r="H265" s="95" t="n"/>
      <c r="I265" s="95" t="n"/>
      <c r="J265" s="95" t="n"/>
      <c r="K265" s="95" t="n"/>
      <c r="L265" s="95" t="n"/>
      <c r="M265" s="95" t="n"/>
      <c r="N265" s="95" t="n"/>
      <c r="O265" s="95" t="n"/>
      <c r="P265" s="95" t="n"/>
      <c r="Q265" s="95" t="n"/>
      <c r="R265" s="93" t="n"/>
    </row>
    <row r="266" ht="16" customHeight="1">
      <c r="B266" s="96" t="inlineStr">
        <is>
          <t>Healthcare costs per person</t>
        </is>
      </c>
      <c r="C266" s="97" t="inlineStr">
        <is>
          <t>LCU/person/month</t>
        </is>
      </c>
      <c r="D266" s="98">
        <f>'CLS - Input data'!D31/'CLS - Input data'!D18</f>
        <v/>
      </c>
      <c r="E266" s="98">
        <f>'CLS - Input data'!E31/'CLS - Input data'!E18</f>
        <v/>
      </c>
      <c r="F266" s="98">
        <f>'CLS - Input data'!F31/'CLS - Input data'!F18</f>
        <v/>
      </c>
      <c r="G266" s="98">
        <f>'CLS - Input data'!G31/'CLS - Input data'!G18</f>
        <v/>
      </c>
      <c r="H266" s="98">
        <f>'CLS - Input data'!H31/'CLS - Input data'!H18</f>
        <v/>
      </c>
      <c r="I266" s="98">
        <f>'CLS - Input data'!I31/'CLS - Input data'!I18</f>
        <v/>
      </c>
      <c r="J266" s="98">
        <f>'CLS - Input data'!J31/'CLS - Input data'!J18</f>
        <v/>
      </c>
      <c r="K266" s="98">
        <f>'CLS - Input data'!K31/'CLS - Input data'!K18</f>
        <v/>
      </c>
      <c r="L266" s="98">
        <f>'CLS - Input data'!L31/'CLS - Input data'!L18</f>
        <v/>
      </c>
      <c r="M266" s="98">
        <f>'CLS - Input data'!M31/'CLS - Input data'!M18</f>
        <v/>
      </c>
      <c r="N266" s="98">
        <f>'CLS - Input data'!N31/'CLS - Input data'!N18</f>
        <v/>
      </c>
      <c r="O266" s="98">
        <f>'CLS - Input data'!O31/'CLS - Input data'!O18</f>
        <v/>
      </c>
      <c r="P266" s="98">
        <f>'CLS - Input data'!P31/'CLS - Input data'!P18</f>
        <v/>
      </c>
      <c r="Q266" s="98">
        <f>'CLS - Input data'!Q31/'CLS - Input data'!Q18</f>
        <v/>
      </c>
      <c r="R266" s="98">
        <f>'CLS - Input data'!R31/'CLS - Input data'!R18</f>
        <v/>
      </c>
    </row>
    <row r="267" ht="32" customHeight="1">
      <c r="B267" s="96" t="inlineStr">
        <is>
          <t>Average monthly expenses per person in education</t>
        </is>
      </c>
      <c r="C267" s="99" t="inlineStr">
        <is>
          <t>LCU/person/month</t>
        </is>
      </c>
      <c r="D267" s="98">
        <f>AVERAGE(D266:Q266)</f>
        <v/>
      </c>
      <c r="E267" s="100" t="n"/>
      <c r="F267" s="100" t="n"/>
      <c r="G267" s="100" t="n"/>
      <c r="H267" s="100" t="n"/>
      <c r="I267" s="100" t="n"/>
      <c r="J267" s="100" t="n"/>
      <c r="K267" s="100" t="n"/>
      <c r="L267" s="100" t="n"/>
      <c r="M267" s="100" t="n"/>
      <c r="N267" s="100" t="n"/>
      <c r="O267" s="100" t="n"/>
      <c r="P267" s="100" t="n"/>
      <c r="Q267" s="100" t="n"/>
      <c r="R267" s="100" t="n"/>
    </row>
    <row r="268" ht="32" customHeight="1">
      <c r="B268" s="96" t="inlineStr">
        <is>
          <t>Average monthly expenses per person in education</t>
        </is>
      </c>
      <c r="C268" s="99" t="inlineStr">
        <is>
          <t>USD/person/month</t>
        </is>
      </c>
      <c r="D268" s="98">
        <f>D267/'OUTPUT_Living wage'!$E$10</f>
        <v/>
      </c>
      <c r="E268" s="100" t="n"/>
      <c r="F268" s="100" t="n"/>
      <c r="G268" s="100" t="n"/>
      <c r="H268" s="100" t="n"/>
      <c r="I268" s="100" t="n"/>
      <c r="J268" s="100" t="n"/>
      <c r="K268" s="100" t="n"/>
      <c r="L268" s="100" t="n"/>
      <c r="M268" s="100" t="n"/>
      <c r="N268" s="100" t="n"/>
      <c r="O268" s="100" t="n"/>
      <c r="P268" s="100" t="n"/>
      <c r="Q268" s="100" t="n"/>
      <c r="R268" s="100" t="n"/>
    </row>
    <row r="269">
      <c r="B269" s="101" t="n"/>
      <c r="C269" s="102" t="n"/>
      <c r="D269" s="100" t="n"/>
      <c r="E269" s="100" t="n"/>
      <c r="F269" s="100" t="n"/>
      <c r="G269" s="100" t="n"/>
      <c r="H269" s="100" t="n"/>
      <c r="I269" s="100" t="n"/>
      <c r="J269" s="100" t="n"/>
      <c r="K269" s="100" t="n"/>
      <c r="L269" s="100" t="n"/>
      <c r="M269" s="100" t="n"/>
      <c r="N269" s="100" t="n"/>
      <c r="O269" s="100" t="n"/>
      <c r="P269" s="100" t="n"/>
      <c r="Q269" s="100" t="n"/>
      <c r="R269" s="100" t="n"/>
    </row>
    <row r="270">
      <c r="B270" s="93" t="inlineStr">
        <is>
          <t>Transportation</t>
        </is>
      </c>
      <c r="C270" s="94" t="n"/>
      <c r="D270" s="95" t="n"/>
      <c r="E270" s="95" t="n"/>
      <c r="F270" s="95" t="n"/>
      <c r="G270" s="95" t="n"/>
      <c r="H270" s="95" t="n"/>
      <c r="I270" s="95" t="n"/>
      <c r="J270" s="95" t="n"/>
      <c r="K270" s="95" t="n"/>
      <c r="L270" s="95" t="n"/>
      <c r="M270" s="95" t="n"/>
      <c r="N270" s="95" t="n"/>
      <c r="O270" s="95" t="n"/>
      <c r="P270" s="95" t="n"/>
      <c r="Q270" s="95" t="n"/>
      <c r="R270" s="93" t="n"/>
    </row>
    <row r="271" ht="16" customHeight="1">
      <c r="B271" s="96" t="inlineStr">
        <is>
          <t>Transport costs per person</t>
        </is>
      </c>
      <c r="C271" s="97" t="inlineStr">
        <is>
          <t>LCU/person/month</t>
        </is>
      </c>
      <c r="D271" s="98">
        <f>'CLS - Input data'!D33/'CLS - Input data'!D18</f>
        <v/>
      </c>
      <c r="E271" s="98">
        <f>'CLS - Input data'!E33/'CLS - Input data'!E18</f>
        <v/>
      </c>
      <c r="F271" s="98">
        <f>'CLS - Input data'!F33/'CLS - Input data'!F18</f>
        <v/>
      </c>
      <c r="G271" s="98">
        <f>'CLS - Input data'!G33/'CLS - Input data'!G18</f>
        <v/>
      </c>
      <c r="H271" s="98">
        <f>'CLS - Input data'!H33/'CLS - Input data'!H18</f>
        <v/>
      </c>
      <c r="I271" s="98">
        <f>'CLS - Input data'!I33/'CLS - Input data'!I18</f>
        <v/>
      </c>
      <c r="J271" s="98">
        <f>'CLS - Input data'!J33/'CLS - Input data'!J18</f>
        <v/>
      </c>
      <c r="K271" s="98">
        <f>'CLS - Input data'!K33/'CLS - Input data'!K18</f>
        <v/>
      </c>
      <c r="L271" s="98">
        <f>'CLS - Input data'!L33/'CLS - Input data'!L18</f>
        <v/>
      </c>
      <c r="M271" s="98">
        <f>'CLS - Input data'!M33/'CLS - Input data'!M18</f>
        <v/>
      </c>
      <c r="N271" s="98">
        <f>'CLS - Input data'!N33/'CLS - Input data'!N18</f>
        <v/>
      </c>
      <c r="O271" s="98">
        <f>'CLS - Input data'!O33/'CLS - Input data'!O18</f>
        <v/>
      </c>
      <c r="P271" s="98">
        <f>'CLS - Input data'!P33/'CLS - Input data'!P18</f>
        <v/>
      </c>
      <c r="Q271" s="98">
        <f>'CLS - Input data'!Q33/'CLS - Input data'!Q18</f>
        <v/>
      </c>
      <c r="R271" s="98">
        <f>'CLS - Input data'!R33/'CLS - Input data'!R18</f>
        <v/>
      </c>
    </row>
    <row r="272" ht="32" customHeight="1">
      <c r="B272" s="96" t="inlineStr">
        <is>
          <t>Average monthly expenses per person in education</t>
        </is>
      </c>
      <c r="C272" s="99" t="inlineStr">
        <is>
          <t>LCU/person/month</t>
        </is>
      </c>
      <c r="D272" s="98">
        <f>AVERAGE(D271:Q271)</f>
        <v/>
      </c>
      <c r="E272" s="100" t="n"/>
      <c r="F272" s="100" t="n"/>
      <c r="G272" s="100" t="n"/>
      <c r="H272" s="100" t="n"/>
      <c r="I272" s="100" t="n"/>
      <c r="J272" s="100" t="n"/>
      <c r="K272" s="100" t="n"/>
      <c r="L272" s="100" t="n"/>
      <c r="M272" s="100" t="n"/>
      <c r="N272" s="100" t="n"/>
      <c r="O272" s="100" t="n"/>
      <c r="P272" s="100" t="n"/>
      <c r="Q272" s="100" t="n"/>
      <c r="R272" s="100" t="n"/>
    </row>
    <row r="273" ht="32" customHeight="1">
      <c r="B273" s="96" t="inlineStr">
        <is>
          <t>Average monthly expenses per person in education</t>
        </is>
      </c>
      <c r="C273" s="99" t="inlineStr">
        <is>
          <t>USD/person/month</t>
        </is>
      </c>
      <c r="D273" s="98">
        <f>D272/'OUTPUT_Living wage'!$E$10</f>
        <v/>
      </c>
      <c r="E273" s="100" t="n"/>
      <c r="F273" s="100" t="n"/>
      <c r="G273" s="100" t="n"/>
      <c r="H273" s="100" t="n"/>
      <c r="I273" s="100" t="n"/>
      <c r="J273" s="100" t="n"/>
      <c r="K273" s="100" t="n"/>
      <c r="L273" s="100" t="n"/>
      <c r="M273" s="100" t="n"/>
      <c r="N273" s="100" t="n"/>
      <c r="O273" s="100" t="n"/>
      <c r="P273" s="100" t="n"/>
      <c r="Q273" s="100" t="n"/>
      <c r="R273" s="100" t="n"/>
    </row>
    <row r="274">
      <c r="B274" s="22" t="inlineStr">
        <is>
          <t xml:space="preserve">Food costs </t>
        </is>
      </c>
    </row>
    <row r="275">
      <c r="C275" s="22" t="inlineStr">
        <is>
          <t>household share</t>
        </is>
      </c>
      <c r="D275" s="56">
        <f>IF('4. NFNH costs'!D40="Regional",'4. NFNH costs'!E25,'4. NFNH costs'!D25)</f>
        <v/>
      </c>
    </row>
    <row r="276">
      <c r="B276" s="22" t="inlineStr">
        <is>
          <t>Non-Food Non Housing cost</t>
        </is>
      </c>
      <c r="C276" s="22" t="inlineStr">
        <is>
          <t>household share</t>
        </is>
      </c>
      <c r="D276" s="56">
        <f>IF('4. NFNH costs'!D40="Regional",SUM('4. NFNH costs'!E29:E37)+'4. NFNH costs'!E27 - IF(D11=0,'4. NFNH costs'!E34,0), SUM('4. NFNH costs'!D29:D37)+'4. NFNH costs'!D27 - IF(D11=0,'4. NFNH costs'!D34,0))</f>
        <v/>
      </c>
    </row>
    <row r="277" ht="16" customHeight="1" thickBot="1"/>
    <row r="278" ht="16" customHeight="1" thickBot="1">
      <c r="B278" s="103" t="inlineStr">
        <is>
          <t>NFNH to Food ratio (prelimary)</t>
        </is>
      </c>
      <c r="C278" s="104" t="n"/>
      <c r="D278" s="105">
        <f>'Background calculations'!D276/'Background calculations'!D275</f>
        <v/>
      </c>
    </row>
    <row r="280">
      <c r="B280" s="22" t="inlineStr">
        <is>
          <t>Food cost</t>
        </is>
      </c>
      <c r="C280" s="514">
        <f>'OUTPUT_Living wage'!E28</f>
        <v/>
      </c>
      <c r="D280" s="22" t="inlineStr">
        <is>
          <t>LCU/person/month</t>
        </is>
      </c>
    </row>
    <row r="281">
      <c r="B281" s="22" t="inlineStr">
        <is>
          <t>NFNH cost</t>
        </is>
      </c>
      <c r="C281" s="514">
        <f>C280*'Background calculations'!D278</f>
        <v/>
      </c>
      <c r="D281" s="22" t="inlineStr">
        <is>
          <t>LCU/person/month</t>
        </is>
      </c>
    </row>
    <row r="283">
      <c r="B283" s="22" t="inlineStr">
        <is>
          <t>Total (estimated) cost</t>
        </is>
      </c>
      <c r="C283" s="514">
        <f>C280/'Background calculations'!D275</f>
        <v/>
      </c>
      <c r="D283" s="22" t="inlineStr">
        <is>
          <t>LCU/person/month</t>
        </is>
      </c>
    </row>
    <row r="285">
      <c r="C285" s="436">
        <f>'4. NFNH costs'!D40</f>
        <v/>
      </c>
      <c r="D285" s="436" t="inlineStr">
        <is>
          <t>LCU/month</t>
        </is>
      </c>
    </row>
    <row r="286">
      <c r="B286" s="22" t="inlineStr">
        <is>
          <t>Education</t>
        </is>
      </c>
      <c r="C286" s="107">
        <f>INDEX('4. NFNH costs'!$D$25:$E$37, MATCH('Background calculations'!B286,'4. NFNH costs'!$C$25:$C$37,0), MATCH('Background calculations'!$C$285,'4. NFNH costs'!$D$24:$E$24,0)) - IF(D11=0,'4. NFNH costs'!E34,0)</f>
        <v/>
      </c>
      <c r="D286" s="514">
        <f>$C$283*C286</f>
        <v/>
      </c>
    </row>
    <row r="287">
      <c r="B287" s="22" t="inlineStr">
        <is>
          <t>Transport</t>
        </is>
      </c>
      <c r="C287" s="107">
        <f>INDEX('4. NFNH costs'!$D$25:$E$37, MATCH('Background calculations'!B287,'4. NFNH costs'!$C$25:$C$37,0), MATCH('Background calculations'!$C$285,'4. NFNH costs'!$D$24:$E$24,0))</f>
        <v/>
      </c>
      <c r="D287" s="514">
        <f>$C$283*C287</f>
        <v/>
      </c>
    </row>
    <row r="288" ht="16" customHeight="1" thickBot="1">
      <c r="B288" s="108" t="inlineStr">
        <is>
          <t>Health</t>
        </is>
      </c>
      <c r="C288" s="107">
        <f>INDEX('4. NFNH costs'!$D$25:$E$37, MATCH('Background calculations'!B288,'4. NFNH costs'!$C$25:$C$37,0), MATCH('Background calculations'!$C$285,'4. NFNH costs'!$D$24:$E$24,0))</f>
        <v/>
      </c>
      <c r="D288" s="514">
        <f>$C$283*C288</f>
        <v/>
      </c>
    </row>
    <row r="289" ht="16" customHeight="1" thickTop="1"/>
    <row r="290" ht="16" customHeight="1">
      <c r="C290" s="109" t="inlineStr">
        <is>
          <t>Amount from survey data</t>
        </is>
      </c>
      <c r="D290" s="436" t="inlineStr">
        <is>
          <t>Calculated</t>
        </is>
      </c>
      <c r="E290" s="22" t="inlineStr">
        <is>
          <t>From local consultant</t>
        </is>
      </c>
      <c r="G290" s="436" t="inlineStr">
        <is>
          <t>Deviation factors</t>
        </is>
      </c>
    </row>
    <row r="291">
      <c r="B291" s="22" t="inlineStr">
        <is>
          <t>Education</t>
        </is>
      </c>
      <c r="C291" s="514">
        <f>'Background calculations'!D262*D11</f>
        <v/>
      </c>
      <c r="D291" s="514">
        <f>D286</f>
        <v/>
      </c>
      <c r="E291" s="514" t="n">
        <v>0</v>
      </c>
      <c r="G291" s="513">
        <f>IF(AND($D$11&lt;&gt;0,OR(C291&gt;D291*2.5,D291&gt;C291*2.5)), 25%/3 * SIGN(C291-D291), 0)</f>
        <v/>
      </c>
    </row>
    <row r="292">
      <c r="B292" s="22" t="inlineStr">
        <is>
          <t>Transport</t>
        </is>
      </c>
      <c r="C292" s="514">
        <f>'Background calculations'!D272*(D10+D11)</f>
        <v/>
      </c>
      <c r="D292" s="514">
        <f>D287</f>
        <v/>
      </c>
      <c r="E292" s="514" t="n">
        <v>0</v>
      </c>
      <c r="G292" s="513">
        <f>IF(AND($D$11&lt;&gt;0,OR(C292&gt;D292*2.5,D292&gt;C292*2.5)), 25%/3 * SIGN(C292-D292), 0)</f>
        <v/>
      </c>
    </row>
    <row r="293" ht="16" customHeight="1" thickBot="1">
      <c r="B293" s="22" t="inlineStr">
        <is>
          <t>Health</t>
        </is>
      </c>
      <c r="C293" s="515">
        <f>'Background calculations'!D267*(D10+D11)</f>
        <v/>
      </c>
      <c r="D293" s="515">
        <f>D288</f>
        <v/>
      </c>
      <c r="E293" s="514" t="n">
        <v>0</v>
      </c>
      <c r="G293" s="513">
        <f>IF(AND($D$11&lt;&gt;0,OR(C293&gt;D293*2.5,D293&gt;C293*2.5)), 25%/3 * SIGN(C293-D293), 0)</f>
        <v/>
      </c>
    </row>
    <row r="294" ht="16" customHeight="1" thickBot="1">
      <c r="B294" s="112" t="inlineStr">
        <is>
          <t>Total</t>
        </is>
      </c>
      <c r="C294" s="516">
        <f>SUM(C291:C293)</f>
        <v/>
      </c>
      <c r="D294" s="516">
        <f>SUM(D291:D293)</f>
        <v/>
      </c>
      <c r="E294" s="104" t="n"/>
      <c r="F294" s="114" t="n"/>
      <c r="G294" s="517">
        <f>SUM(G291:G293)</f>
        <v/>
      </c>
      <c r="H294" s="59" t="n"/>
    </row>
    <row r="297">
      <c r="B297" s="22" t="inlineStr">
        <is>
          <t>Total Cost</t>
        </is>
      </c>
      <c r="C297" s="514">
        <f>C281</f>
        <v/>
      </c>
    </row>
    <row r="298">
      <c r="B298" s="22" t="inlineStr">
        <is>
          <t>Average differnce vs. Postchecks</t>
        </is>
      </c>
      <c r="C298" s="513">
        <f>G294</f>
        <v/>
      </c>
    </row>
    <row r="299" ht="16" customHeight="1" thickBot="1">
      <c r="C299" s="456" t="n"/>
    </row>
    <row r="300" ht="16" customHeight="1" thickBot="1">
      <c r="B300" s="112" t="inlineStr">
        <is>
          <t>Final NFNH</t>
        </is>
      </c>
      <c r="C300" s="518">
        <f>C281*(1+C298)</f>
        <v/>
      </c>
      <c r="D300" s="63" t="inlineStr">
        <is>
          <t>LCU/person/month</t>
        </is>
      </c>
    </row>
    <row r="307">
      <c r="C307" s="519" t="n"/>
    </row>
  </sheetData>
  <mergeCells count="5">
    <mergeCell ref="F214:G214"/>
    <mergeCell ref="B5:S5"/>
    <mergeCell ref="B124:B125"/>
    <mergeCell ref="I41:L41"/>
    <mergeCell ref="N41:Q41"/>
  </mergeCells>
  <conditionalFormatting sqref="C43:C57">
    <cfRule type="containsText" priority="1" operator="containsText" dxfId="1" text="FALSE">
      <formula>NOT(ISERROR(SEARCH("FALSE",C43)))</formula>
    </cfRule>
    <cfRule type="containsText" priority="2" operator="containsText" dxfId="0" text="TRUE">
      <formula>NOT(ISERROR(SEARCH("TRUE",C43)))</formula>
    </cfRule>
  </conditionalFormatting>
  <pageMargins left="0.7" right="0.7" top="0.75" bottom="0.75" header="0.3" footer="0.3"/>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Davide</dc:creator>
  <dcterms:created xmlns:dcterms="http://purl.org/dc/terms/" xmlns:xsi="http://www.w3.org/2001/XMLSchema-instance" xsi:type="dcterms:W3CDTF">2015-06-05T18:17:20Z</dcterms:created>
  <dcterms:modified xmlns:dcterms="http://purl.org/dc/terms/" xmlns:xsi="http://www.w3.org/2001/XMLSchema-instance" xsi:type="dcterms:W3CDTF">2026-10-05T09:25:32Z</dcterms:modified>
  <cp:lastModifiedBy>Ezra Mugambe Mwesigwa</cp:lastModifiedBy>
  <cp:lastPrinted>2026-08-19T08:51:11Z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0x01010086A618E2C5A5C946923B711EFBA4932E</vt:lpwstr>
  </property>
  <property name="MediaServiceImageTags" fmtid="{D5CDD505-2E9C-101B-9397-08002B2CF9AE}" pid="3">
    <vt:lpwstr xmlns:vt="http://schemas.openxmlformats.org/officeDocument/2006/docPropsVTypes"/>
  </property>
</Properties>
</file>