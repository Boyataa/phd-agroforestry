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https://alumni-my.sharepoint.com/personal/phr773_ku_dk/Documents/NEWFORESIGHT/"/>
    </mc:Choice>
  </mc:AlternateContent>
  <xr:revisionPtr revIDLastSave="1018" documentId="13_ncr:1_{3B6B31F5-9658-472E-B797-DB48F94E938D}" xr6:coauthVersionLast="47" xr6:coauthVersionMax="47" xr10:uidLastSave="{0D339F35-4448-1443-81E9-3D92A1094591}"/>
  <bookViews>
    <workbookView xWindow="0" yWindow="600" windowWidth="25360" windowHeight="19120" tabRatio="951" firstSheet="1" activeTab="7" xr2:uid="{00000000-000D-0000-FFFF-FFFF00000000}"/>
  </bookViews>
  <sheets>
    <sheet name="Guidance" sheetId="35" r:id="rId1"/>
    <sheet name="OUTPUT_Living wage" sheetId="1" r:id="rId2"/>
    <sheet name="1. Setting the boundaries" sheetId="4" r:id="rId3"/>
    <sheet name="2. Housing costs" sheetId="16" r:id="rId4"/>
    <sheet name="Decent housing" sheetId="15" r:id="rId5"/>
    <sheet name="3. Food costs" sheetId="27" r:id="rId6"/>
    <sheet name="CLS - Input data" sheetId="29" r:id="rId7"/>
    <sheet name="Food costs - Input data" sheetId="8" r:id="rId8"/>
    <sheet name="Nutritional input" sheetId="30" r:id="rId9"/>
    <sheet name="4. NFNH costs" sheetId="28" r:id="rId10"/>
    <sheet name="5. Income tax" sheetId="33" r:id="rId11"/>
    <sheet name="Background calculations" sheetId="24" r:id="rId12"/>
  </sheets>
  <externalReferences>
    <externalReference r:id="rId13"/>
    <externalReference r:id="rId14"/>
  </externalReferences>
  <definedNames>
    <definedName name="Grains" localSheetId="10">#REF!</definedName>
    <definedName name="Grains">#REF!</definedName>
    <definedName name="inc" localSheetId="4">'[1]Income tax'!$L$5</definedName>
    <definedName name="inc">#REF!</definedName>
    <definedName name="Rates2" localSheetId="10">'[2]5. Income tax'!$F$27:$H$33</definedName>
    <definedName name="Rates2" localSheetId="4">'[1]Income tax'!$F$6:$H$12</definedName>
    <definedName name="Rates2">#REF!</definedName>
    <definedName name="solver_adj" localSheetId="10" hidden="1">'5. Income tax'!$D$19</definedName>
    <definedName name="solver_cvg" localSheetId="10" hidden="1">0.0001</definedName>
    <definedName name="solver_drv" localSheetId="10" hidden="1">2</definedName>
    <definedName name="solver_eng" localSheetId="10" hidden="1">1</definedName>
    <definedName name="solver_est" localSheetId="10" hidden="1">1</definedName>
    <definedName name="solver_itr" localSheetId="10" hidden="1">2147483647</definedName>
    <definedName name="solver_lin" localSheetId="10" hidden="1">2</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0</definedName>
    <definedName name="solver_nwt" localSheetId="10" hidden="1">1</definedName>
    <definedName name="solver_opt" localSheetId="10" hidden="1">'5. Income tax'!$D$25</definedName>
    <definedName name="solver_pre" localSheetId="10" hidden="1">0.000001</definedName>
    <definedName name="solver_rbv" localSheetId="10" hidden="1">2</definedName>
    <definedName name="solver_rlx" localSheetId="10" hidden="1">2</definedName>
    <definedName name="solver_rsd" localSheetId="10" hidden="1">0</definedName>
    <definedName name="solver_scl" localSheetId="10" hidden="1">2</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3</definedName>
    <definedName name="solver_val" localSheetId="10" hidden="1">0</definedName>
    <definedName name="solver_ver" localSheetId="10"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2" i="30" l="1"/>
  <c r="H112" i="30"/>
  <c r="E46" i="33"/>
  <c r="F46" i="33"/>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11" i="8"/>
  <c r="D9" i="4" l="1"/>
  <c r="E39" i="1"/>
  <c r="H148" i="24" l="1"/>
  <c r="D275" i="24" l="1"/>
  <c r="C106" i="24" l="1"/>
  <c r="D261" i="24" l="1"/>
  <c r="E261" i="24"/>
  <c r="F261" i="24"/>
  <c r="G261" i="24"/>
  <c r="H261" i="24"/>
  <c r="I261" i="24"/>
  <c r="J261" i="24"/>
  <c r="K261" i="24"/>
  <c r="L261" i="24"/>
  <c r="M261" i="24"/>
  <c r="N261" i="24"/>
  <c r="O261" i="24"/>
  <c r="P261" i="24"/>
  <c r="Q261" i="24"/>
  <c r="R261" i="24"/>
  <c r="D262" i="24" l="1"/>
  <c r="D263" i="24" s="1"/>
  <c r="K176" i="24"/>
  <c r="G216" i="24" l="1"/>
  <c r="F216" i="24"/>
  <c r="F217" i="24"/>
  <c r="G217" i="24"/>
  <c r="F218" i="24"/>
  <c r="G218" i="24"/>
  <c r="F219" i="24"/>
  <c r="G219" i="24"/>
  <c r="F220" i="24"/>
  <c r="G220" i="24"/>
  <c r="F221" i="24"/>
  <c r="G221" i="24"/>
  <c r="F222" i="24"/>
  <c r="G222" i="24"/>
  <c r="F223" i="24"/>
  <c r="G223" i="24"/>
  <c r="F224" i="24"/>
  <c r="G224" i="24"/>
  <c r="F225" i="24"/>
  <c r="G225" i="24"/>
  <c r="F226" i="24"/>
  <c r="G226" i="24"/>
  <c r="F227" i="24"/>
  <c r="G227" i="24"/>
  <c r="F228" i="24"/>
  <c r="G228" i="24"/>
  <c r="F229" i="24"/>
  <c r="G229" i="24"/>
  <c r="F230" i="24"/>
  <c r="G230" i="24"/>
  <c r="F231" i="24"/>
  <c r="G231" i="24"/>
  <c r="F232" i="24"/>
  <c r="G232" i="24"/>
  <c r="F233" i="24"/>
  <c r="G233" i="24"/>
  <c r="F234" i="24"/>
  <c r="G234" i="24"/>
  <c r="D216" i="24" l="1"/>
  <c r="K148" i="24"/>
  <c r="D148" i="24"/>
  <c r="C62" i="24" l="1"/>
  <c r="D149" i="24"/>
  <c r="H149" i="24"/>
  <c r="I149" i="24"/>
  <c r="J149" i="24"/>
  <c r="K149" i="24"/>
  <c r="D150" i="24"/>
  <c r="H150" i="24"/>
  <c r="I150" i="24"/>
  <c r="J150" i="24"/>
  <c r="K150" i="24"/>
  <c r="D151" i="24"/>
  <c r="H151" i="24"/>
  <c r="I151" i="24"/>
  <c r="J151" i="24"/>
  <c r="K151" i="24"/>
  <c r="D152" i="24"/>
  <c r="H152" i="24"/>
  <c r="I152" i="24"/>
  <c r="J152" i="24"/>
  <c r="K152" i="24"/>
  <c r="D153" i="24"/>
  <c r="H153" i="24"/>
  <c r="I153" i="24"/>
  <c r="J153" i="24"/>
  <c r="K153" i="24"/>
  <c r="D154" i="24"/>
  <c r="H154" i="24"/>
  <c r="I154" i="24"/>
  <c r="J154" i="24"/>
  <c r="K154" i="24"/>
  <c r="D155" i="24"/>
  <c r="H155" i="24"/>
  <c r="I155" i="24"/>
  <c r="J155" i="24"/>
  <c r="K155" i="24"/>
  <c r="D156" i="24"/>
  <c r="H156" i="24"/>
  <c r="I156" i="24"/>
  <c r="J156" i="24"/>
  <c r="K156" i="24"/>
  <c r="D157" i="24"/>
  <c r="H157" i="24"/>
  <c r="I157" i="24"/>
  <c r="J157" i="24"/>
  <c r="K157" i="24"/>
  <c r="D158" i="24"/>
  <c r="H158" i="24"/>
  <c r="I158" i="24"/>
  <c r="J158" i="24"/>
  <c r="K158" i="24"/>
  <c r="D159" i="24"/>
  <c r="H159" i="24"/>
  <c r="I159" i="24"/>
  <c r="J159" i="24"/>
  <c r="K159" i="24"/>
  <c r="D160" i="24"/>
  <c r="H160" i="24"/>
  <c r="I160" i="24"/>
  <c r="J160" i="24"/>
  <c r="K160" i="24"/>
  <c r="D161" i="24"/>
  <c r="H161" i="24"/>
  <c r="I161" i="24"/>
  <c r="J161" i="24"/>
  <c r="K161" i="24"/>
  <c r="D162" i="24"/>
  <c r="H162" i="24"/>
  <c r="I162" i="24"/>
  <c r="J162" i="24"/>
  <c r="K162" i="24"/>
  <c r="D163" i="24"/>
  <c r="H163" i="24"/>
  <c r="I163" i="24"/>
  <c r="J163" i="24"/>
  <c r="K163" i="24"/>
  <c r="D164" i="24"/>
  <c r="H164" i="24"/>
  <c r="I164" i="24"/>
  <c r="J164" i="24"/>
  <c r="K164" i="24"/>
  <c r="D165" i="24"/>
  <c r="H165" i="24"/>
  <c r="I165" i="24"/>
  <c r="J165" i="24"/>
  <c r="K165" i="24"/>
  <c r="D166" i="24"/>
  <c r="H166" i="24"/>
  <c r="I166" i="24"/>
  <c r="J166" i="24"/>
  <c r="K166" i="24"/>
  <c r="D167" i="24"/>
  <c r="H167" i="24"/>
  <c r="I167" i="24"/>
  <c r="J167" i="24"/>
  <c r="K167" i="24"/>
  <c r="D168" i="24"/>
  <c r="H168" i="24"/>
  <c r="I168" i="24"/>
  <c r="J168" i="24"/>
  <c r="K168" i="24"/>
  <c r="D169" i="24"/>
  <c r="H169" i="24"/>
  <c r="I169" i="24"/>
  <c r="J169" i="24"/>
  <c r="K169" i="24"/>
  <c r="D170" i="24"/>
  <c r="H170" i="24"/>
  <c r="I170" i="24"/>
  <c r="J170" i="24"/>
  <c r="K170" i="24"/>
  <c r="D171" i="24"/>
  <c r="H171" i="24"/>
  <c r="I171" i="24"/>
  <c r="J171" i="24"/>
  <c r="K171" i="24"/>
  <c r="D172" i="24"/>
  <c r="H172" i="24"/>
  <c r="I172" i="24"/>
  <c r="J172" i="24"/>
  <c r="K172" i="24"/>
  <c r="D173" i="24"/>
  <c r="H173" i="24"/>
  <c r="I173" i="24"/>
  <c r="J173" i="24"/>
  <c r="K173" i="24"/>
  <c r="D174" i="24"/>
  <c r="H174" i="24"/>
  <c r="I174" i="24"/>
  <c r="J174" i="24"/>
  <c r="K174" i="24"/>
  <c r="D175" i="24"/>
  <c r="H175" i="24"/>
  <c r="I175" i="24"/>
  <c r="J175" i="24"/>
  <c r="K175" i="24"/>
  <c r="D176" i="24"/>
  <c r="H176" i="24"/>
  <c r="I176" i="24"/>
  <c r="J176" i="24"/>
  <c r="D177" i="24"/>
  <c r="H177" i="24"/>
  <c r="I177" i="24"/>
  <c r="J177" i="24"/>
  <c r="K177" i="24"/>
  <c r="D178" i="24"/>
  <c r="H178" i="24"/>
  <c r="I178" i="24"/>
  <c r="J178" i="24"/>
  <c r="K178" i="24"/>
  <c r="D179" i="24"/>
  <c r="H179" i="24"/>
  <c r="I179" i="24"/>
  <c r="J179" i="24"/>
  <c r="K179" i="24"/>
  <c r="D180" i="24"/>
  <c r="H180" i="24"/>
  <c r="I180" i="24"/>
  <c r="J180" i="24"/>
  <c r="K180" i="24"/>
  <c r="D181" i="24"/>
  <c r="H181" i="24"/>
  <c r="I181" i="24"/>
  <c r="J181" i="24"/>
  <c r="K181" i="24"/>
  <c r="D182" i="24"/>
  <c r="H182" i="24"/>
  <c r="I182" i="24"/>
  <c r="J182" i="24"/>
  <c r="K182" i="24"/>
  <c r="D183" i="24"/>
  <c r="H183" i="24"/>
  <c r="I183" i="24"/>
  <c r="J183" i="24"/>
  <c r="K183" i="24"/>
  <c r="D184" i="24"/>
  <c r="H184" i="24"/>
  <c r="I184" i="24"/>
  <c r="J184" i="24"/>
  <c r="K184" i="24"/>
  <c r="D185" i="24"/>
  <c r="H185" i="24"/>
  <c r="I185" i="24"/>
  <c r="J185" i="24"/>
  <c r="K185" i="24"/>
  <c r="D186" i="24"/>
  <c r="H186" i="24"/>
  <c r="I186" i="24"/>
  <c r="J186" i="24"/>
  <c r="K186" i="24"/>
  <c r="D187" i="24"/>
  <c r="H187" i="24"/>
  <c r="I187" i="24"/>
  <c r="J187" i="24"/>
  <c r="K187" i="24"/>
  <c r="D188" i="24"/>
  <c r="H188" i="24"/>
  <c r="I188" i="24"/>
  <c r="J188" i="24"/>
  <c r="K188" i="24"/>
  <c r="D189" i="24"/>
  <c r="H189" i="24"/>
  <c r="I189" i="24"/>
  <c r="J189" i="24"/>
  <c r="K189" i="24"/>
  <c r="D190" i="24"/>
  <c r="H190" i="24"/>
  <c r="I190" i="24"/>
  <c r="J190" i="24"/>
  <c r="K190" i="24"/>
  <c r="D191" i="24"/>
  <c r="H191" i="24"/>
  <c r="I191" i="24"/>
  <c r="J191" i="24"/>
  <c r="K191" i="24"/>
  <c r="D192" i="24"/>
  <c r="H192" i="24"/>
  <c r="I192" i="24"/>
  <c r="J192" i="24"/>
  <c r="K192" i="24"/>
  <c r="D193" i="24"/>
  <c r="H193" i="24"/>
  <c r="I193" i="24"/>
  <c r="J193" i="24"/>
  <c r="K193" i="24"/>
  <c r="D194" i="24"/>
  <c r="H194" i="24"/>
  <c r="I194" i="24"/>
  <c r="J194" i="24"/>
  <c r="K194" i="24"/>
  <c r="D195" i="24"/>
  <c r="H195" i="24"/>
  <c r="I195" i="24"/>
  <c r="J195" i="24"/>
  <c r="K195" i="24"/>
  <c r="D196" i="24"/>
  <c r="H196" i="24"/>
  <c r="I196" i="24"/>
  <c r="J196" i="24"/>
  <c r="K196" i="24"/>
  <c r="D197" i="24"/>
  <c r="H197" i="24"/>
  <c r="I197" i="24"/>
  <c r="J197" i="24"/>
  <c r="K197" i="24"/>
  <c r="D198" i="24"/>
  <c r="H198" i="24"/>
  <c r="I198" i="24"/>
  <c r="J198" i="24"/>
  <c r="K198" i="24"/>
  <c r="D199" i="24"/>
  <c r="H199" i="24"/>
  <c r="I199" i="24"/>
  <c r="J199" i="24"/>
  <c r="K199" i="24"/>
  <c r="D200" i="24"/>
  <c r="H200" i="24"/>
  <c r="I200" i="24"/>
  <c r="J200" i="24"/>
  <c r="K200" i="24"/>
  <c r="G188" i="24" l="1"/>
  <c r="G168" i="24"/>
  <c r="G160" i="24"/>
  <c r="G196" i="24"/>
  <c r="G184" i="24"/>
  <c r="G176" i="24"/>
  <c r="G164" i="24"/>
  <c r="G156" i="24"/>
  <c r="G200" i="24"/>
  <c r="G192" i="24"/>
  <c r="G180" i="24"/>
  <c r="G172" i="24"/>
  <c r="G152" i="24"/>
  <c r="G191" i="24"/>
  <c r="G187" i="24"/>
  <c r="G183" i="24"/>
  <c r="G179" i="24"/>
  <c r="G175" i="24"/>
  <c r="G198" i="24"/>
  <c r="G194" i="24"/>
  <c r="G190" i="24"/>
  <c r="G186" i="24"/>
  <c r="G182" i="24"/>
  <c r="G178" i="24"/>
  <c r="G174" i="24"/>
  <c r="G170" i="24"/>
  <c r="G166" i="24"/>
  <c r="G162" i="24"/>
  <c r="G158" i="24"/>
  <c r="G154" i="24"/>
  <c r="G150" i="24"/>
  <c r="G197" i="24"/>
  <c r="G193" i="24"/>
  <c r="G189" i="24"/>
  <c r="G185" i="24"/>
  <c r="G181" i="24"/>
  <c r="G177" i="24"/>
  <c r="G173" i="24"/>
  <c r="G169" i="24"/>
  <c r="G165" i="24"/>
  <c r="G161" i="24"/>
  <c r="G157" i="24"/>
  <c r="G153" i="24"/>
  <c r="G149" i="24"/>
  <c r="G199" i="24"/>
  <c r="G195" i="24"/>
  <c r="G171" i="24"/>
  <c r="G167" i="24"/>
  <c r="G163" i="24"/>
  <c r="G159" i="24"/>
  <c r="G155" i="24"/>
  <c r="G151" i="24"/>
  <c r="B149" i="24" l="1"/>
  <c r="B150" i="24"/>
  <c r="B151" i="24"/>
  <c r="B152" i="24"/>
  <c r="B153" i="24"/>
  <c r="B154" i="24"/>
  <c r="B155" i="24"/>
  <c r="B156" i="24"/>
  <c r="B157" i="24"/>
  <c r="B158" i="24"/>
  <c r="B159" i="24"/>
  <c r="B160" i="24"/>
  <c r="B161" i="24"/>
  <c r="B162" i="24"/>
  <c r="B163" i="24"/>
  <c r="B164" i="24"/>
  <c r="B165" i="24"/>
  <c r="B166" i="24"/>
  <c r="B167" i="24"/>
  <c r="B168" i="24"/>
  <c r="B169" i="24"/>
  <c r="B170" i="24"/>
  <c r="B171" i="24"/>
  <c r="B172" i="24"/>
  <c r="B173" i="24"/>
  <c r="B174" i="24"/>
  <c r="B175" i="24"/>
  <c r="B176" i="24"/>
  <c r="B177" i="24"/>
  <c r="B178" i="24"/>
  <c r="B179" i="24"/>
  <c r="B180" i="24"/>
  <c r="B181" i="24"/>
  <c r="B182" i="24"/>
  <c r="B183" i="24"/>
  <c r="B184" i="24"/>
  <c r="B185" i="24"/>
  <c r="B186" i="24"/>
  <c r="B187" i="24"/>
  <c r="B188" i="24"/>
  <c r="B189" i="24"/>
  <c r="B190" i="24"/>
  <c r="B191" i="24"/>
  <c r="B192" i="24"/>
  <c r="B193" i="24"/>
  <c r="B194" i="24"/>
  <c r="B195" i="24"/>
  <c r="B196" i="24"/>
  <c r="B197" i="24"/>
  <c r="B198" i="24"/>
  <c r="B199" i="24"/>
  <c r="B200" i="24"/>
  <c r="C200" i="24" l="1"/>
  <c r="L200" i="24" s="1"/>
  <c r="C149" i="24"/>
  <c r="L149" i="24" s="1"/>
  <c r="C150" i="24"/>
  <c r="L150" i="24" s="1"/>
  <c r="C151" i="24"/>
  <c r="L151" i="24" s="1"/>
  <c r="C152" i="24"/>
  <c r="L152" i="24" s="1"/>
  <c r="C153" i="24"/>
  <c r="L153" i="24" s="1"/>
  <c r="C154" i="24"/>
  <c r="L154" i="24" s="1"/>
  <c r="C155" i="24"/>
  <c r="L155" i="24" s="1"/>
  <c r="C156" i="24"/>
  <c r="L156" i="24" s="1"/>
  <c r="C157" i="24"/>
  <c r="L157" i="24" s="1"/>
  <c r="C158" i="24"/>
  <c r="L158" i="24" s="1"/>
  <c r="C159" i="24"/>
  <c r="L159" i="24" s="1"/>
  <c r="C160" i="24"/>
  <c r="L160" i="24" s="1"/>
  <c r="C161" i="24"/>
  <c r="L161" i="24" s="1"/>
  <c r="C162" i="24"/>
  <c r="L162" i="24" s="1"/>
  <c r="C163" i="24"/>
  <c r="L163" i="24" s="1"/>
  <c r="C164" i="24"/>
  <c r="L164" i="24" s="1"/>
  <c r="C165" i="24"/>
  <c r="L165" i="24" s="1"/>
  <c r="C166" i="24"/>
  <c r="L166" i="24" s="1"/>
  <c r="C167" i="24"/>
  <c r="L167" i="24" s="1"/>
  <c r="C168" i="24"/>
  <c r="L168" i="24" s="1"/>
  <c r="C169" i="24"/>
  <c r="L169" i="24" s="1"/>
  <c r="C170" i="24"/>
  <c r="L170" i="24" s="1"/>
  <c r="C171" i="24"/>
  <c r="L171" i="24" s="1"/>
  <c r="C172" i="24"/>
  <c r="L172" i="24" s="1"/>
  <c r="C173" i="24"/>
  <c r="L173" i="24" s="1"/>
  <c r="C174" i="24"/>
  <c r="L174" i="24" s="1"/>
  <c r="C175" i="24"/>
  <c r="L175" i="24" s="1"/>
  <c r="C176" i="24"/>
  <c r="L176" i="24" s="1"/>
  <c r="C177" i="24"/>
  <c r="L177" i="24" s="1"/>
  <c r="C178" i="24"/>
  <c r="L178" i="24" s="1"/>
  <c r="C179" i="24"/>
  <c r="L179" i="24" s="1"/>
  <c r="C180" i="24"/>
  <c r="L180" i="24" s="1"/>
  <c r="C181" i="24"/>
  <c r="L181" i="24" s="1"/>
  <c r="C182" i="24"/>
  <c r="L182" i="24" s="1"/>
  <c r="C183" i="24"/>
  <c r="L183" i="24" s="1"/>
  <c r="C184" i="24"/>
  <c r="L184" i="24" s="1"/>
  <c r="C185" i="24"/>
  <c r="L185" i="24" s="1"/>
  <c r="C186" i="24"/>
  <c r="L186" i="24" s="1"/>
  <c r="C187" i="24"/>
  <c r="L187" i="24" s="1"/>
  <c r="C188" i="24"/>
  <c r="L188" i="24" s="1"/>
  <c r="C189" i="24"/>
  <c r="L189" i="24" s="1"/>
  <c r="C190" i="24"/>
  <c r="L190" i="24" s="1"/>
  <c r="C191" i="24"/>
  <c r="L191" i="24" s="1"/>
  <c r="C192" i="24"/>
  <c r="L192" i="24" s="1"/>
  <c r="C193" i="24"/>
  <c r="L193" i="24" s="1"/>
  <c r="C194" i="24"/>
  <c r="L194" i="24" s="1"/>
  <c r="C195" i="24"/>
  <c r="L195" i="24" s="1"/>
  <c r="C196" i="24"/>
  <c r="L196" i="24" s="1"/>
  <c r="C197" i="24"/>
  <c r="L197" i="24" s="1"/>
  <c r="C198" i="24"/>
  <c r="L198" i="24" s="1"/>
  <c r="C199" i="24"/>
  <c r="L199" i="24" s="1"/>
  <c r="C82" i="30"/>
  <c r="D82"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H53" i="33" l="1"/>
  <c r="E53" i="33"/>
  <c r="B53" i="33"/>
  <c r="C30" i="30"/>
  <c r="D30" i="30"/>
  <c r="F48" i="33" l="1"/>
  <c r="F49" i="33"/>
  <c r="F50" i="33"/>
  <c r="F51" i="33"/>
  <c r="F52" i="33"/>
  <c r="B47" i="33" l="1"/>
  <c r="B48" i="33"/>
  <c r="B49" i="33"/>
  <c r="B50" i="33"/>
  <c r="B51" i="33"/>
  <c r="B52" i="33"/>
  <c r="B46" i="33"/>
  <c r="B217" i="24"/>
  <c r="B218" i="24"/>
  <c r="B219" i="24"/>
  <c r="B220" i="24"/>
  <c r="B221" i="24"/>
  <c r="B222" i="24"/>
  <c r="B223" i="24"/>
  <c r="B224" i="24"/>
  <c r="B225" i="24"/>
  <c r="B226" i="24"/>
  <c r="B227" i="24"/>
  <c r="B228" i="24"/>
  <c r="B229" i="24"/>
  <c r="B230" i="24"/>
  <c r="B231" i="24"/>
  <c r="B232" i="24"/>
  <c r="B233" i="24"/>
  <c r="B234" i="24"/>
  <c r="F64" i="4" l="1"/>
  <c r="F65" i="4"/>
  <c r="F66" i="4"/>
  <c r="H52" i="33" l="1"/>
  <c r="E52" i="33"/>
  <c r="H51" i="33"/>
  <c r="E51" i="33"/>
  <c r="H50" i="33"/>
  <c r="E50" i="33"/>
  <c r="H49" i="33"/>
  <c r="E49" i="33"/>
  <c r="H48" i="33"/>
  <c r="E48" i="33"/>
  <c r="I47" i="33"/>
  <c r="F47" i="33"/>
  <c r="H47" i="33" s="1"/>
  <c r="E47" i="33"/>
  <c r="D28" i="33" s="1"/>
  <c r="H46" i="33"/>
  <c r="D44" i="33"/>
  <c r="E44" i="33" s="1"/>
  <c r="F44" i="33" s="1"/>
  <c r="G44" i="33" s="1"/>
  <c r="H44" i="33" s="1"/>
  <c r="I44" i="33" s="1"/>
  <c r="I48" i="33" l="1"/>
  <c r="I49" i="33" s="1"/>
  <c r="I50" i="33" s="1"/>
  <c r="I51" i="33" s="1"/>
  <c r="I52" i="33" s="1"/>
  <c r="D21" i="33"/>
  <c r="J44" i="33"/>
  <c r="D23" i="33" l="1"/>
  <c r="E37" i="1" s="1"/>
  <c r="E34" i="16" a="1"/>
  <c r="E34" i="16" s="1"/>
  <c r="E29" i="24" l="1"/>
  <c r="E30" i="24" s="1"/>
  <c r="F68" i="4" s="1"/>
  <c r="S43" i="24" a="1"/>
  <c r="S43" i="24" s="1"/>
  <c r="G11" i="24"/>
  <c r="E26" i="27" s="1"/>
  <c r="G26" i="27" s="1"/>
  <c r="G10" i="24"/>
  <c r="E25" i="27" s="1"/>
  <c r="G25" i="27" s="1"/>
  <c r="E18" i="1"/>
  <c r="D10" i="24" s="1"/>
  <c r="E24" i="27"/>
  <c r="D25" i="16"/>
  <c r="D9" i="24"/>
  <c r="G9" i="24" s="1"/>
  <c r="C11" i="24"/>
  <c r="C12" i="24"/>
  <c r="C10" i="24"/>
  <c r="D102" i="30"/>
  <c r="E97" i="30"/>
  <c r="D97" i="30"/>
  <c r="C115" i="24"/>
  <c r="C114" i="24"/>
  <c r="D114" i="24" s="1"/>
  <c r="E114" i="24" s="1"/>
  <c r="Q62" i="24"/>
  <c r="P62" i="24"/>
  <c r="O62" i="24"/>
  <c r="N62" i="24"/>
  <c r="M62" i="24"/>
  <c r="L62" i="24"/>
  <c r="K62" i="24"/>
  <c r="J62" i="24"/>
  <c r="I62" i="24"/>
  <c r="H62" i="24"/>
  <c r="G62" i="24"/>
  <c r="F62" i="24"/>
  <c r="E62" i="24"/>
  <c r="D62" i="24"/>
  <c r="V31" i="15"/>
  <c r="V32" i="15"/>
  <c r="V33" i="15"/>
  <c r="V34" i="15"/>
  <c r="V29" i="15"/>
  <c r="V30" i="15"/>
  <c r="V28" i="15"/>
  <c r="Q65" i="24"/>
  <c r="P65" i="24"/>
  <c r="O65" i="24"/>
  <c r="N65" i="24"/>
  <c r="M65" i="24"/>
  <c r="L65" i="24"/>
  <c r="K65" i="24"/>
  <c r="J65" i="24"/>
  <c r="I65" i="24"/>
  <c r="H65" i="24"/>
  <c r="G65" i="24"/>
  <c r="F65" i="24"/>
  <c r="E65" i="24"/>
  <c r="D65" i="24"/>
  <c r="C65" i="24"/>
  <c r="C285" i="24"/>
  <c r="C288" i="24" s="1"/>
  <c r="R271" i="24"/>
  <c r="R266" i="24"/>
  <c r="D266" i="24"/>
  <c r="E266" i="24"/>
  <c r="F266" i="24"/>
  <c r="G266" i="24"/>
  <c r="H266" i="24"/>
  <c r="I266" i="24"/>
  <c r="J266" i="24"/>
  <c r="K266" i="24"/>
  <c r="L266" i="24"/>
  <c r="M266" i="24"/>
  <c r="N266" i="24"/>
  <c r="O266" i="24"/>
  <c r="P266" i="24"/>
  <c r="Q266" i="24"/>
  <c r="D271" i="24"/>
  <c r="E271" i="24"/>
  <c r="G271" i="24"/>
  <c r="H271" i="24"/>
  <c r="I271" i="24"/>
  <c r="J271" i="24"/>
  <c r="K271" i="24"/>
  <c r="L271" i="24"/>
  <c r="N271" i="24"/>
  <c r="P271" i="24"/>
  <c r="Q271" i="24"/>
  <c r="G68" i="24" a="1"/>
  <c r="F68" i="24" a="1"/>
  <c r="E68" i="24" a="1"/>
  <c r="D68" i="24" a="1"/>
  <c r="Q43" i="24" a="1"/>
  <c r="Q43" i="24" s="1"/>
  <c r="P43" i="24" a="1"/>
  <c r="P43" i="24" s="1"/>
  <c r="O43" i="24" a="1"/>
  <c r="O43" i="24" s="1"/>
  <c r="N43" i="24" a="1"/>
  <c r="L43" i="24" a="1"/>
  <c r="L43" i="24" s="1"/>
  <c r="K43" i="24" a="1"/>
  <c r="K43" i="24" s="1"/>
  <c r="J43" i="24" a="1"/>
  <c r="J43" i="24" s="1"/>
  <c r="H43" i="24" a="1"/>
  <c r="F43" i="24" a="1"/>
  <c r="F43" i="24" s="1"/>
  <c r="E43" i="24" a="1"/>
  <c r="E43" i="24" s="1"/>
  <c r="D43" i="24" a="1"/>
  <c r="I148" i="24"/>
  <c r="J148" i="24"/>
  <c r="G246" i="24"/>
  <c r="C215" i="24"/>
  <c r="B148" i="24"/>
  <c r="C148" i="24"/>
  <c r="B216" i="24"/>
  <c r="B215" i="24"/>
  <c r="D29" i="24"/>
  <c r="D30" i="24" s="1"/>
  <c r="E68" i="4" s="1"/>
  <c r="C29" i="24"/>
  <c r="C30" i="24" s="1"/>
  <c r="D68" i="4" s="1"/>
  <c r="E23" i="24"/>
  <c r="E24" i="24" s="1"/>
  <c r="D23" i="24"/>
  <c r="D24" i="24" s="1"/>
  <c r="C23" i="24"/>
  <c r="C24" i="24" s="1"/>
  <c r="E21" i="24"/>
  <c r="E25" i="24" s="1"/>
  <c r="D21" i="24"/>
  <c r="D25" i="24" s="1"/>
  <c r="C21" i="24"/>
  <c r="C25" i="24" s="1"/>
  <c r="O271" i="24"/>
  <c r="M271" i="24"/>
  <c r="F271" i="24"/>
  <c r="D18" i="4" l="1"/>
  <c r="E20" i="1" s="1"/>
  <c r="D12" i="24" s="1"/>
  <c r="G148" i="24"/>
  <c r="L148" i="24"/>
  <c r="E148" i="24"/>
  <c r="F148" i="24" s="1"/>
  <c r="N148" i="24" s="1"/>
  <c r="D48" i="4"/>
  <c r="A216" i="24"/>
  <c r="A217" i="24"/>
  <c r="F68" i="24"/>
  <c r="G68" i="24"/>
  <c r="I50" i="24"/>
  <c r="D68" i="24"/>
  <c r="E183" i="24"/>
  <c r="F183" i="24" s="1"/>
  <c r="N183" i="24" s="1"/>
  <c r="E151" i="24"/>
  <c r="F151" i="24" s="1"/>
  <c r="N151" i="24" s="1"/>
  <c r="E174" i="24"/>
  <c r="F174" i="24" s="1"/>
  <c r="E181" i="24"/>
  <c r="F181" i="24" s="1"/>
  <c r="N181" i="24" s="1"/>
  <c r="E165" i="24"/>
  <c r="F165" i="24" s="1"/>
  <c r="N165" i="24" s="1"/>
  <c r="E149" i="24"/>
  <c r="F149" i="24" s="1"/>
  <c r="N149" i="24" s="1"/>
  <c r="E171" i="24"/>
  <c r="F171" i="24" s="1"/>
  <c r="E186" i="24"/>
  <c r="F186" i="24" s="1"/>
  <c r="E150" i="24"/>
  <c r="F150" i="24" s="1"/>
  <c r="N150" i="24" s="1"/>
  <c r="E200" i="24"/>
  <c r="F200" i="24" s="1"/>
  <c r="E184" i="24"/>
  <c r="F184" i="24" s="1"/>
  <c r="N184" i="24" s="1"/>
  <c r="E168" i="24"/>
  <c r="F168" i="24" s="1"/>
  <c r="N168" i="24" s="1"/>
  <c r="E152" i="24"/>
  <c r="F152" i="24" s="1"/>
  <c r="N152" i="24" s="1"/>
  <c r="E175" i="24"/>
  <c r="F175" i="24" s="1"/>
  <c r="E198" i="24"/>
  <c r="F198" i="24" s="1"/>
  <c r="N198" i="24" s="1"/>
  <c r="E166" i="24"/>
  <c r="F166" i="24" s="1"/>
  <c r="E197" i="24"/>
  <c r="F197" i="24" s="1"/>
  <c r="N197" i="24" s="1"/>
  <c r="E177" i="24"/>
  <c r="F177" i="24" s="1"/>
  <c r="N177" i="24" s="1"/>
  <c r="E161" i="24"/>
  <c r="F161" i="24" s="1"/>
  <c r="N161" i="24" s="1"/>
  <c r="E195" i="24"/>
  <c r="F195" i="24" s="1"/>
  <c r="N195" i="24" s="1"/>
  <c r="E159" i="24"/>
  <c r="F159" i="24" s="1"/>
  <c r="E178" i="24"/>
  <c r="F178" i="24" s="1"/>
  <c r="E196" i="24"/>
  <c r="F196" i="24" s="1"/>
  <c r="N196" i="24" s="1"/>
  <c r="E180" i="24"/>
  <c r="F180" i="24" s="1"/>
  <c r="E164" i="24"/>
  <c r="F164" i="24" s="1"/>
  <c r="E199" i="24"/>
  <c r="F199" i="24" s="1"/>
  <c r="N199" i="24" s="1"/>
  <c r="E167" i="24"/>
  <c r="F167" i="24" s="1"/>
  <c r="N167" i="24" s="1"/>
  <c r="E190" i="24"/>
  <c r="F190" i="24" s="1"/>
  <c r="N190" i="24" s="1"/>
  <c r="E158" i="24"/>
  <c r="F158" i="24" s="1"/>
  <c r="E189" i="24"/>
  <c r="F189" i="24" s="1"/>
  <c r="N189" i="24" s="1"/>
  <c r="E173" i="24"/>
  <c r="F173" i="24" s="1"/>
  <c r="N173" i="24" s="1"/>
  <c r="E157" i="24"/>
  <c r="F157" i="24" s="1"/>
  <c r="N157" i="24" s="1"/>
  <c r="E187" i="24"/>
  <c r="F187" i="24" s="1"/>
  <c r="E155" i="24"/>
  <c r="F155" i="24" s="1"/>
  <c r="N155" i="24" s="1"/>
  <c r="E170" i="24"/>
  <c r="F170" i="24" s="1"/>
  <c r="N170" i="24" s="1"/>
  <c r="E192" i="24"/>
  <c r="F192" i="24" s="1"/>
  <c r="N192" i="24" s="1"/>
  <c r="E176" i="24"/>
  <c r="F176" i="24" s="1"/>
  <c r="E160" i="24"/>
  <c r="F160" i="24" s="1"/>
  <c r="N160" i="24" s="1"/>
  <c r="E191" i="24"/>
  <c r="F191" i="24" s="1"/>
  <c r="E163" i="24"/>
  <c r="F163" i="24" s="1"/>
  <c r="E182" i="24"/>
  <c r="F182" i="24" s="1"/>
  <c r="E154" i="24"/>
  <c r="F154" i="24" s="1"/>
  <c r="E185" i="24"/>
  <c r="F185" i="24" s="1"/>
  <c r="E169" i="24"/>
  <c r="F169" i="24" s="1"/>
  <c r="E153" i="24"/>
  <c r="F153" i="24" s="1"/>
  <c r="E179" i="24"/>
  <c r="F179" i="24" s="1"/>
  <c r="N179" i="24" s="1"/>
  <c r="E194" i="24"/>
  <c r="F194" i="24" s="1"/>
  <c r="N194" i="24" s="1"/>
  <c r="E162" i="24"/>
  <c r="F162" i="24" s="1"/>
  <c r="N162" i="24" s="1"/>
  <c r="E193" i="24"/>
  <c r="F193" i="24" s="1"/>
  <c r="N193" i="24" s="1"/>
  <c r="E188" i="24"/>
  <c r="F188" i="24" s="1"/>
  <c r="N188" i="24" s="1"/>
  <c r="E172" i="24"/>
  <c r="F172" i="24" s="1"/>
  <c r="E156" i="24"/>
  <c r="F156" i="24" s="1"/>
  <c r="E68" i="24"/>
  <c r="C68" i="24" a="1"/>
  <c r="D34" i="16" a="1"/>
  <c r="D34" i="16" s="1"/>
  <c r="E48" i="4"/>
  <c r="I49" i="24"/>
  <c r="I44" i="24"/>
  <c r="D272" i="24"/>
  <c r="D273" i="24" s="1"/>
  <c r="F48" i="4"/>
  <c r="R55" i="24"/>
  <c r="I51" i="24"/>
  <c r="D267" i="24"/>
  <c r="D268" i="24" s="1"/>
  <c r="R48" i="24"/>
  <c r="I47" i="24"/>
  <c r="I46" i="24"/>
  <c r="G43" i="24" a="1"/>
  <c r="R53" i="24"/>
  <c r="R54" i="24"/>
  <c r="I45" i="24"/>
  <c r="R57" i="24"/>
  <c r="R50" i="24"/>
  <c r="I56" i="24"/>
  <c r="R47" i="24"/>
  <c r="I54" i="24"/>
  <c r="R44" i="24"/>
  <c r="R49" i="24"/>
  <c r="R52" i="24"/>
  <c r="R56" i="24"/>
  <c r="R45" i="24"/>
  <c r="D43" i="24"/>
  <c r="I57" i="24"/>
  <c r="H43" i="24"/>
  <c r="N43" i="24"/>
  <c r="R43" i="24" s="1"/>
  <c r="I52" i="24"/>
  <c r="I53" i="24"/>
  <c r="R46" i="24"/>
  <c r="I48" i="24"/>
  <c r="C287" i="24"/>
  <c r="R51" i="24"/>
  <c r="I55" i="24"/>
  <c r="A221" i="24"/>
  <c r="D221" i="24" s="1"/>
  <c r="A229" i="24"/>
  <c r="D229" i="24" s="1"/>
  <c r="A218" i="24"/>
  <c r="D218" i="24" s="1"/>
  <c r="A223" i="24"/>
  <c r="D223" i="24" s="1"/>
  <c r="A231" i="24"/>
  <c r="D231" i="24" s="1"/>
  <c r="A226" i="24"/>
  <c r="D226" i="24" s="1"/>
  <c r="A219" i="24"/>
  <c r="D219" i="24" s="1"/>
  <c r="C127" i="24"/>
  <c r="G127" i="24" s="1"/>
  <c r="C126" i="24"/>
  <c r="F126" i="24" s="1"/>
  <c r="A220" i="24"/>
  <c r="D220" i="24" s="1"/>
  <c r="A225" i="24"/>
  <c r="D225" i="24" s="1"/>
  <c r="A232" i="24"/>
  <c r="D232" i="24" s="1"/>
  <c r="A227" i="24"/>
  <c r="D227" i="24" s="1"/>
  <c r="A228" i="24"/>
  <c r="D228" i="24" s="1"/>
  <c r="A234" i="24"/>
  <c r="D234" i="24" s="1"/>
  <c r="D217" i="24"/>
  <c r="A224" i="24"/>
  <c r="D224" i="24" s="1"/>
  <c r="A233" i="24"/>
  <c r="D233" i="24" s="1"/>
  <c r="A222" i="24"/>
  <c r="D222" i="24" s="1"/>
  <c r="A230" i="24"/>
  <c r="D230" i="24" s="1"/>
  <c r="M166" i="24" l="1" a="1"/>
  <c r="M166" i="24" s="1"/>
  <c r="M148" i="24" a="1"/>
  <c r="M148" i="24" s="1"/>
  <c r="N156" i="24"/>
  <c r="N169" i="24"/>
  <c r="N163" i="24"/>
  <c r="N164" i="24"/>
  <c r="N159" i="24"/>
  <c r="M175" i="24" a="1"/>
  <c r="M175" i="24" s="1"/>
  <c r="M151" i="24" a="1"/>
  <c r="M151" i="24" s="1"/>
  <c r="M177" i="24" a="1"/>
  <c r="M177" i="24" s="1"/>
  <c r="M169" i="24" a="1"/>
  <c r="M169" i="24" s="1"/>
  <c r="M155" i="24" a="1"/>
  <c r="M155" i="24" s="1"/>
  <c r="M186" i="24" a="1"/>
  <c r="M186" i="24" s="1"/>
  <c r="M172" i="24" a="1"/>
  <c r="M172" i="24" s="1"/>
  <c r="M180" i="24" a="1"/>
  <c r="M180" i="24" s="1"/>
  <c r="M153" i="24" a="1"/>
  <c r="M153" i="24" s="1"/>
  <c r="M159" i="24" a="1"/>
  <c r="M159" i="24" s="1"/>
  <c r="M164" i="24" a="1"/>
  <c r="M164" i="24" s="1"/>
  <c r="M178" i="24" a="1"/>
  <c r="M178" i="24" s="1"/>
  <c r="N172" i="24"/>
  <c r="N185" i="24"/>
  <c r="N191" i="24"/>
  <c r="N180" i="24"/>
  <c r="N166" i="24"/>
  <c r="N186" i="24"/>
  <c r="M183" i="24" a="1"/>
  <c r="M183" i="24" s="1"/>
  <c r="M191" i="24" a="1"/>
  <c r="M191" i="24" s="1"/>
  <c r="M168" i="24" a="1"/>
  <c r="M168" i="24" s="1"/>
  <c r="M195" i="24" a="1"/>
  <c r="M195" i="24" s="1"/>
  <c r="M157" i="24" a="1"/>
  <c r="M157" i="24" s="1"/>
  <c r="M174" i="24" a="1"/>
  <c r="M174" i="24" s="1"/>
  <c r="M171" i="24" a="1"/>
  <c r="M171" i="24" s="1"/>
  <c r="M149" i="24" a="1"/>
  <c r="M149" i="24" s="1"/>
  <c r="M152" i="24" a="1"/>
  <c r="M152" i="24" s="1"/>
  <c r="M200" i="24" a="1"/>
  <c r="M200" i="24" s="1"/>
  <c r="M158" i="24" a="1"/>
  <c r="M158" i="24" s="1"/>
  <c r="M187" i="24" a="1"/>
  <c r="M187" i="24" s="1"/>
  <c r="M179" i="24" a="1"/>
  <c r="M179" i="24" s="1"/>
  <c r="N154" i="24"/>
  <c r="N171" i="24"/>
  <c r="N174" i="24"/>
  <c r="M167" i="24" a="1"/>
  <c r="M167" i="24" s="1"/>
  <c r="M160" i="24" a="1"/>
  <c r="M160" i="24" s="1"/>
  <c r="M190" i="24" a="1"/>
  <c r="M190" i="24" s="1"/>
  <c r="M197" i="24" a="1"/>
  <c r="M197" i="24" s="1"/>
  <c r="M150" i="24" a="1"/>
  <c r="M150" i="24" s="1"/>
  <c r="M196" i="24" a="1"/>
  <c r="M196" i="24" s="1"/>
  <c r="M199" i="24" a="1"/>
  <c r="M199" i="24" s="1"/>
  <c r="M194" i="24" a="1"/>
  <c r="M194" i="24" s="1"/>
  <c r="M176" i="24" a="1"/>
  <c r="M176" i="24" s="1"/>
  <c r="M182" i="24" a="1"/>
  <c r="M182" i="24" s="1"/>
  <c r="M161" i="24" a="1"/>
  <c r="M161" i="24" s="1"/>
  <c r="M170" i="24" a="1"/>
  <c r="M170" i="24" s="1"/>
  <c r="M189" i="24" a="1"/>
  <c r="M189" i="24" s="1"/>
  <c r="C68" i="24"/>
  <c r="H68" i="24" s="1"/>
  <c r="K69" i="24"/>
  <c r="M165" i="24" a="1"/>
  <c r="M165" i="24" s="1"/>
  <c r="N153" i="24"/>
  <c r="N182" i="24"/>
  <c r="N176" i="24"/>
  <c r="N187" i="24"/>
  <c r="N158" i="24"/>
  <c r="N178" i="24"/>
  <c r="N175" i="24"/>
  <c r="N200" i="24"/>
  <c r="M188" i="24" a="1"/>
  <c r="M188" i="24" s="1"/>
  <c r="M184" i="24" a="1"/>
  <c r="M184" i="24" s="1"/>
  <c r="M181" i="24" a="1"/>
  <c r="M181" i="24" s="1"/>
  <c r="M173" i="24" a="1"/>
  <c r="M173" i="24" s="1"/>
  <c r="M154" i="24" a="1"/>
  <c r="M154" i="24" s="1"/>
  <c r="M185" i="24" a="1"/>
  <c r="M185" i="24" s="1"/>
  <c r="M198" i="24" a="1"/>
  <c r="M198" i="24" s="1"/>
  <c r="M163" i="24" a="1"/>
  <c r="M163" i="24" s="1"/>
  <c r="M162" i="24" a="1"/>
  <c r="M162" i="24" s="1"/>
  <c r="M156" i="24" a="1"/>
  <c r="M156" i="24" s="1"/>
  <c r="M193" i="24" a="1"/>
  <c r="M193" i="24" s="1"/>
  <c r="M192" i="24" a="1"/>
  <c r="M192" i="24" s="1"/>
  <c r="D17" i="4"/>
  <c r="E19" i="1" s="1"/>
  <c r="D11" i="24" s="1"/>
  <c r="D276" i="24" s="1"/>
  <c r="K77" i="24"/>
  <c r="I82" i="24"/>
  <c r="I79" i="24"/>
  <c r="H73" i="24"/>
  <c r="H81" i="24"/>
  <c r="I72" i="24"/>
  <c r="H71" i="24"/>
  <c r="K78" i="24"/>
  <c r="K82" i="24"/>
  <c r="K79" i="24"/>
  <c r="I73" i="24"/>
  <c r="K72" i="24"/>
  <c r="K80" i="24"/>
  <c r="I74" i="24"/>
  <c r="I71" i="24"/>
  <c r="H76" i="24"/>
  <c r="H70" i="24"/>
  <c r="H77" i="24"/>
  <c r="I78" i="24"/>
  <c r="H75" i="24"/>
  <c r="K73" i="24"/>
  <c r="K81" i="24"/>
  <c r="I75" i="24"/>
  <c r="I69" i="24"/>
  <c r="H74" i="24"/>
  <c r="H69" i="24"/>
  <c r="K74" i="24"/>
  <c r="K71" i="24"/>
  <c r="I76" i="24"/>
  <c r="I70" i="24"/>
  <c r="H78" i="24"/>
  <c r="I80" i="24"/>
  <c r="K75" i="24"/>
  <c r="I77" i="24"/>
  <c r="H82" i="24"/>
  <c r="H79" i="24"/>
  <c r="H72" i="24"/>
  <c r="I81" i="24"/>
  <c r="K76" i="24"/>
  <c r="K70" i="24"/>
  <c r="H80" i="24"/>
  <c r="G43" i="24"/>
  <c r="I43" i="24"/>
  <c r="G126" i="24"/>
  <c r="C128" i="24"/>
  <c r="E126" i="24"/>
  <c r="F127" i="24"/>
  <c r="E127" i="24"/>
  <c r="O193" i="24" l="1"/>
  <c r="P193" i="24" s="1"/>
  <c r="Q193" i="24" s="1"/>
  <c r="O181" i="24"/>
  <c r="P181" i="24" s="1"/>
  <c r="Q181" i="24" s="1"/>
  <c r="D26" i="16"/>
  <c r="D28" i="16" s="1"/>
  <c r="C292" i="24"/>
  <c r="O151" i="24"/>
  <c r="P151" i="24" s="1"/>
  <c r="Q151" i="24" s="1"/>
  <c r="C286" i="24"/>
  <c r="D278" i="24"/>
  <c r="C291" i="24"/>
  <c r="O149" i="24"/>
  <c r="P149" i="24" s="1"/>
  <c r="Q149" i="24" s="1"/>
  <c r="O148" i="24"/>
  <c r="P148" i="24" s="1"/>
  <c r="Q148" i="24" s="1"/>
  <c r="O156" i="24"/>
  <c r="P156" i="24" s="1"/>
  <c r="Q156" i="24" s="1"/>
  <c r="O154" i="24"/>
  <c r="P154" i="24" s="1"/>
  <c r="Q154" i="24" s="1"/>
  <c r="O192" i="24"/>
  <c r="P192" i="24" s="1"/>
  <c r="Q192" i="24" s="1"/>
  <c r="O198" i="24"/>
  <c r="P198" i="24" s="1"/>
  <c r="Q198" i="24" s="1"/>
  <c r="O176" i="24"/>
  <c r="P176" i="24" s="1"/>
  <c r="Q176" i="24" s="1"/>
  <c r="O170" i="24"/>
  <c r="P170" i="24" s="1"/>
  <c r="Q170" i="24" s="1"/>
  <c r="O173" i="24"/>
  <c r="P173" i="24" s="1"/>
  <c r="Q173" i="24" s="1"/>
  <c r="O167" i="24"/>
  <c r="P167" i="24" s="1"/>
  <c r="Q167" i="24" s="1"/>
  <c r="O185" i="24"/>
  <c r="P185" i="24" s="1"/>
  <c r="Q185" i="24" s="1"/>
  <c r="O162" i="24"/>
  <c r="P162" i="24" s="1"/>
  <c r="Q162" i="24" s="1"/>
  <c r="O188" i="24"/>
  <c r="P188" i="24" s="1"/>
  <c r="Q188" i="24" s="1"/>
  <c r="I68" i="24"/>
  <c r="O194" i="24"/>
  <c r="P194" i="24" s="1"/>
  <c r="Q194" i="24" s="1"/>
  <c r="O197" i="24"/>
  <c r="P197" i="24" s="1"/>
  <c r="Q197" i="24" s="1"/>
  <c r="O158" i="24"/>
  <c r="P158" i="24" s="1"/>
  <c r="Q158" i="24" s="1"/>
  <c r="O171" i="24"/>
  <c r="P171" i="24" s="1"/>
  <c r="Q171" i="24" s="1"/>
  <c r="O168" i="24"/>
  <c r="P168" i="24" s="1"/>
  <c r="Q168" i="24" s="1"/>
  <c r="O178" i="24"/>
  <c r="P178" i="24" s="1"/>
  <c r="Q178" i="24" s="1"/>
  <c r="O153" i="24"/>
  <c r="P153" i="24" s="1"/>
  <c r="Q153" i="24" s="1"/>
  <c r="O155" i="24"/>
  <c r="P155" i="24" s="1"/>
  <c r="Q155" i="24" s="1"/>
  <c r="O175" i="24"/>
  <c r="P175" i="24" s="1"/>
  <c r="Q175" i="24" s="1"/>
  <c r="O163" i="24"/>
  <c r="P163" i="24" s="1"/>
  <c r="Q163" i="24" s="1"/>
  <c r="O165" i="24"/>
  <c r="P165" i="24" s="1"/>
  <c r="Q165" i="24" s="1"/>
  <c r="O161" i="24"/>
  <c r="P161" i="24" s="1"/>
  <c r="Q161" i="24" s="1"/>
  <c r="O199" i="24"/>
  <c r="P199" i="24" s="1"/>
  <c r="Q199" i="24" s="1"/>
  <c r="O190" i="24"/>
  <c r="P190" i="24" s="1"/>
  <c r="Q190" i="24" s="1"/>
  <c r="O200" i="24"/>
  <c r="P200" i="24" s="1"/>
  <c r="Q200" i="24" s="1"/>
  <c r="O174" i="24"/>
  <c r="P174" i="24" s="1"/>
  <c r="Q174" i="24" s="1"/>
  <c r="O191" i="24"/>
  <c r="P191" i="24" s="1"/>
  <c r="Q191" i="24" s="1"/>
  <c r="O164" i="24"/>
  <c r="P164" i="24" s="1"/>
  <c r="Q164" i="24" s="1"/>
  <c r="O180" i="24"/>
  <c r="P180" i="24" s="1"/>
  <c r="Q180" i="24" s="1"/>
  <c r="O169" i="24"/>
  <c r="P169" i="24" s="1"/>
  <c r="Q169" i="24" s="1"/>
  <c r="K68" i="24"/>
  <c r="O182" i="24"/>
  <c r="P182" i="24" s="1"/>
  <c r="Q182" i="24" s="1"/>
  <c r="O196" i="24"/>
  <c r="P196" i="24" s="1"/>
  <c r="Q196" i="24" s="1"/>
  <c r="O160" i="24"/>
  <c r="P160" i="24" s="1"/>
  <c r="Q160" i="24" s="1"/>
  <c r="O179" i="24"/>
  <c r="P179" i="24" s="1"/>
  <c r="Q179" i="24" s="1"/>
  <c r="O152" i="24"/>
  <c r="P152" i="24" s="1"/>
  <c r="Q152" i="24" s="1"/>
  <c r="O157" i="24"/>
  <c r="P157" i="24" s="1"/>
  <c r="Q157" i="24" s="1"/>
  <c r="O183" i="24"/>
  <c r="P183" i="24" s="1"/>
  <c r="Q183" i="24" s="1"/>
  <c r="O159" i="24"/>
  <c r="P159" i="24" s="1"/>
  <c r="Q159" i="24" s="1"/>
  <c r="O172" i="24"/>
  <c r="P172" i="24" s="1"/>
  <c r="Q172" i="24" s="1"/>
  <c r="O177" i="24"/>
  <c r="P177" i="24" s="1"/>
  <c r="Q177" i="24" s="1"/>
  <c r="O184" i="24"/>
  <c r="P184" i="24" s="1"/>
  <c r="Q184" i="24" s="1"/>
  <c r="O189" i="24"/>
  <c r="P189" i="24" s="1"/>
  <c r="Q189" i="24" s="1"/>
  <c r="O187" i="24"/>
  <c r="P187" i="24" s="1"/>
  <c r="Q187" i="24" s="1"/>
  <c r="O195" i="24"/>
  <c r="P195" i="24" s="1"/>
  <c r="Q195" i="24" s="1"/>
  <c r="O186" i="24"/>
  <c r="P186" i="24" s="1"/>
  <c r="Q186" i="24" s="1"/>
  <c r="O166" i="24"/>
  <c r="P166" i="24" s="1"/>
  <c r="Q166" i="24" s="1"/>
  <c r="G12" i="24"/>
  <c r="E27" i="27" s="1"/>
  <c r="G27" i="27" s="1"/>
  <c r="C293" i="24"/>
  <c r="O150" i="24"/>
  <c r="P150" i="24" s="1"/>
  <c r="Q150" i="24" s="1"/>
  <c r="G128" i="24"/>
  <c r="E128" i="24"/>
  <c r="F128" i="24"/>
  <c r="E16" i="30" l="1"/>
  <c r="D35" i="27" s="1"/>
  <c r="M46" i="24"/>
  <c r="C294" i="24"/>
  <c r="D127" i="30"/>
  <c r="D114" i="30"/>
  <c r="D122" i="30"/>
  <c r="D130" i="30"/>
  <c r="D115" i="30"/>
  <c r="D123" i="30"/>
  <c r="D129" i="30"/>
  <c r="D116" i="30"/>
  <c r="D124" i="30"/>
  <c r="D126" i="30"/>
  <c r="D120" i="30"/>
  <c r="H120" i="30" s="1"/>
  <c r="D121" i="30"/>
  <c r="D117" i="30"/>
  <c r="D125" i="30"/>
  <c r="D118" i="30"/>
  <c r="D119" i="30"/>
  <c r="D128" i="30"/>
  <c r="D113" i="30"/>
  <c r="H113" i="30" s="1"/>
  <c r="M48" i="24"/>
  <c r="C48" i="24" s="1"/>
  <c r="M56" i="24"/>
  <c r="M54" i="24"/>
  <c r="M52" i="24"/>
  <c r="M55" i="24"/>
  <c r="M47" i="24"/>
  <c r="C47" i="24" s="1"/>
  <c r="M45" i="24"/>
  <c r="C45" i="24" s="1"/>
  <c r="J70" i="24" s="1"/>
  <c r="M44" i="24"/>
  <c r="C44" i="24" s="1"/>
  <c r="M49" i="24"/>
  <c r="M57" i="24"/>
  <c r="M50" i="24"/>
  <c r="M53" i="24"/>
  <c r="M51" i="24"/>
  <c r="M43" i="24"/>
  <c r="C43" i="24" s="1"/>
  <c r="D112" i="30"/>
  <c r="C100" i="24" l="1"/>
  <c r="C134" i="24"/>
  <c r="C135" i="24"/>
  <c r="C136" i="24"/>
  <c r="C61" i="27"/>
  <c r="E228" i="24" s="1"/>
  <c r="I124" i="30"/>
  <c r="H124" i="30"/>
  <c r="C52" i="27"/>
  <c r="H219" i="24" s="1"/>
  <c r="H115" i="30"/>
  <c r="I115" i="30"/>
  <c r="C56" i="27"/>
  <c r="E223" i="24" s="1"/>
  <c r="H119" i="30"/>
  <c r="I119" i="30"/>
  <c r="C58" i="27"/>
  <c r="H121" i="30"/>
  <c r="I121" i="30"/>
  <c r="C53" i="27"/>
  <c r="E220" i="24" s="1"/>
  <c r="I116" i="30"/>
  <c r="H116" i="30"/>
  <c r="C67" i="27"/>
  <c r="I130" i="30"/>
  <c r="H130" i="30"/>
  <c r="C54" i="27"/>
  <c r="H117" i="30"/>
  <c r="I117" i="30"/>
  <c r="C64" i="27"/>
  <c r="H127" i="30"/>
  <c r="I127" i="30"/>
  <c r="C55" i="27"/>
  <c r="I118" i="30"/>
  <c r="H118" i="30"/>
  <c r="C57" i="27"/>
  <c r="E224" i="24" s="1"/>
  <c r="I120" i="30"/>
  <c r="C66" i="27"/>
  <c r="E233" i="24" s="1"/>
  <c r="H129" i="30"/>
  <c r="I129" i="30"/>
  <c r="C59" i="27"/>
  <c r="E226" i="24" s="1"/>
  <c r="H122" i="30"/>
  <c r="I122" i="30"/>
  <c r="C65" i="27"/>
  <c r="E232" i="24" s="1"/>
  <c r="H128" i="30"/>
  <c r="I128" i="30"/>
  <c r="C50" i="27"/>
  <c r="I113" i="30"/>
  <c r="C62" i="27"/>
  <c r="H125" i="30"/>
  <c r="I125" i="30"/>
  <c r="C63" i="27"/>
  <c r="I126" i="30"/>
  <c r="H126" i="30"/>
  <c r="C60" i="27"/>
  <c r="H123" i="30"/>
  <c r="I123" i="30"/>
  <c r="C51" i="27"/>
  <c r="H218" i="24" s="1"/>
  <c r="H114" i="30"/>
  <c r="I114" i="30"/>
  <c r="D99" i="30"/>
  <c r="C49" i="27"/>
  <c r="H216" i="24" s="1"/>
  <c r="C216" i="24"/>
  <c r="J68" i="24"/>
  <c r="H38" i="16"/>
  <c r="H39" i="16"/>
  <c r="H36" i="16"/>
  <c r="H34" i="16"/>
  <c r="G34" i="16"/>
  <c r="G36" i="16"/>
  <c r="F34" i="16"/>
  <c r="H35" i="16"/>
  <c r="F36" i="16"/>
  <c r="F35" i="16"/>
  <c r="G35" i="16"/>
  <c r="J69" i="24"/>
  <c r="G38" i="16"/>
  <c r="F38" i="16"/>
  <c r="J72" i="24"/>
  <c r="J73" i="24"/>
  <c r="F39" i="16"/>
  <c r="G39" i="16"/>
  <c r="C232" i="24"/>
  <c r="C233" i="24"/>
  <c r="C231" i="24"/>
  <c r="C222" i="24"/>
  <c r="C225" i="24"/>
  <c r="C221" i="24"/>
  <c r="C217" i="24"/>
  <c r="C220" i="24"/>
  <c r="C228" i="24"/>
  <c r="C230" i="24"/>
  <c r="C219" i="24"/>
  <c r="C229" i="24"/>
  <c r="C226" i="24"/>
  <c r="C218" i="24"/>
  <c r="C234" i="24"/>
  <c r="C224" i="24"/>
  <c r="C227" i="24"/>
  <c r="C223" i="24"/>
  <c r="E231" i="24" l="1"/>
  <c r="I231" i="24" s="1"/>
  <c r="H222" i="24"/>
  <c r="E216" i="24"/>
  <c r="H227" i="24"/>
  <c r="H229" i="24"/>
  <c r="I220" i="24"/>
  <c r="H225" i="24"/>
  <c r="I232" i="24"/>
  <c r="H230" i="24"/>
  <c r="H217" i="24"/>
  <c r="H221" i="24"/>
  <c r="H223" i="24"/>
  <c r="H224" i="24"/>
  <c r="C50" i="24"/>
  <c r="H41" i="16"/>
  <c r="H42" i="16"/>
  <c r="C51" i="24"/>
  <c r="C46" i="24"/>
  <c r="H37" i="16"/>
  <c r="E227" i="24"/>
  <c r="H234" i="24"/>
  <c r="E234" i="24"/>
  <c r="E217" i="24"/>
  <c r="E229" i="24"/>
  <c r="E230" i="24"/>
  <c r="E222" i="24"/>
  <c r="E221" i="24"/>
  <c r="E218" i="24"/>
  <c r="E219" i="24"/>
  <c r="E225" i="24"/>
  <c r="H233" i="24"/>
  <c r="H231" i="24"/>
  <c r="H226" i="24"/>
  <c r="H220" i="24"/>
  <c r="H232" i="24"/>
  <c r="H228" i="24"/>
  <c r="I224" i="24"/>
  <c r="I233" i="24"/>
  <c r="I226" i="24"/>
  <c r="I223" i="24"/>
  <c r="I228" i="24"/>
  <c r="I225" i="24" l="1"/>
  <c r="J225" i="24" s="1"/>
  <c r="I222" i="24"/>
  <c r="J222" i="24" s="1"/>
  <c r="I234" i="24"/>
  <c r="J234" i="24" s="1"/>
  <c r="I219" i="24"/>
  <c r="I230" i="24"/>
  <c r="I218" i="24"/>
  <c r="I229" i="24"/>
  <c r="I227" i="24"/>
  <c r="I221" i="24"/>
  <c r="I217" i="24"/>
  <c r="I216" i="24"/>
  <c r="J233" i="24"/>
  <c r="G37" i="16"/>
  <c r="J71" i="24"/>
  <c r="F37" i="16"/>
  <c r="F42" i="16"/>
  <c r="J76" i="24"/>
  <c r="G42" i="16"/>
  <c r="J75" i="24"/>
  <c r="G41" i="16"/>
  <c r="F41" i="16"/>
  <c r="H235" i="24"/>
  <c r="L213" i="24" s="1"/>
  <c r="J224" i="24" l="1"/>
  <c r="J231" i="24"/>
  <c r="J227" i="24"/>
  <c r="J217" i="24"/>
  <c r="J221" i="24"/>
  <c r="J220" i="24"/>
  <c r="J219" i="24"/>
  <c r="J229" i="24"/>
  <c r="J226" i="24"/>
  <c r="J216" i="24"/>
  <c r="J232" i="24"/>
  <c r="J228" i="24"/>
  <c r="J230" i="24"/>
  <c r="J223" i="24"/>
  <c r="J218" i="24"/>
  <c r="H40" i="16"/>
  <c r="H44" i="16"/>
  <c r="C53" i="24"/>
  <c r="H45" i="16"/>
  <c r="C54" i="24"/>
  <c r="C49" i="24"/>
  <c r="K234" i="24"/>
  <c r="L234" i="24" s="1"/>
  <c r="M234" i="24" s="1"/>
  <c r="N234" i="24" s="1"/>
  <c r="J235" i="24" l="1"/>
  <c r="K219" i="24" s="1"/>
  <c r="L219" i="24" s="1"/>
  <c r="M219" i="24" s="1"/>
  <c r="N219" i="24" s="1"/>
  <c r="O234" i="24"/>
  <c r="P234" i="24"/>
  <c r="K233" i="24"/>
  <c r="L233" i="24" s="1"/>
  <c r="M233" i="24" s="1"/>
  <c r="N233" i="24" s="1"/>
  <c r="J79" i="24"/>
  <c r="F45" i="16"/>
  <c r="G45" i="16"/>
  <c r="G40" i="16"/>
  <c r="J74" i="24"/>
  <c r="F40" i="16"/>
  <c r="J78" i="24"/>
  <c r="G44" i="16"/>
  <c r="F44" i="16"/>
  <c r="K225" i="24"/>
  <c r="L225" i="24" s="1"/>
  <c r="M225" i="24" s="1"/>
  <c r="N225" i="24" s="1"/>
  <c r="K222" i="24"/>
  <c r="L222" i="24" s="1"/>
  <c r="M222" i="24" s="1"/>
  <c r="N222" i="24" s="1"/>
  <c r="K224" i="24" l="1"/>
  <c r="L224" i="24" s="1"/>
  <c r="M224" i="24" s="1"/>
  <c r="N224" i="24" s="1"/>
  <c r="P224" i="24" s="1"/>
  <c r="K216" i="24"/>
  <c r="L216" i="24" s="1"/>
  <c r="M216" i="24" s="1"/>
  <c r="N216" i="24" s="1"/>
  <c r="P216" i="24" s="1"/>
  <c r="K232" i="24"/>
  <c r="L232" i="24" s="1"/>
  <c r="M232" i="24" s="1"/>
  <c r="N232" i="24" s="1"/>
  <c r="O232" i="24" s="1"/>
  <c r="K223" i="24"/>
  <c r="L223" i="24" s="1"/>
  <c r="M223" i="24" s="1"/>
  <c r="N223" i="24" s="1"/>
  <c r="O223" i="24" s="1"/>
  <c r="K227" i="24"/>
  <c r="L227" i="24" s="1"/>
  <c r="M227" i="24" s="1"/>
  <c r="N227" i="24" s="1"/>
  <c r="P227" i="24" s="1"/>
  <c r="K217" i="24"/>
  <c r="L217" i="24" s="1"/>
  <c r="M217" i="24" s="1"/>
  <c r="N217" i="24" s="1"/>
  <c r="O217" i="24" s="1"/>
  <c r="K231" i="24"/>
  <c r="L231" i="24" s="1"/>
  <c r="M231" i="24" s="1"/>
  <c r="N231" i="24" s="1"/>
  <c r="P231" i="24" s="1"/>
  <c r="K226" i="24"/>
  <c r="L226" i="24" s="1"/>
  <c r="M226" i="24" s="1"/>
  <c r="N226" i="24" s="1"/>
  <c r="O226" i="24" s="1"/>
  <c r="K220" i="24"/>
  <c r="L220" i="24" s="1"/>
  <c r="M220" i="24" s="1"/>
  <c r="N220" i="24" s="1"/>
  <c r="O220" i="24" s="1"/>
  <c r="K228" i="24"/>
  <c r="L228" i="24" s="1"/>
  <c r="M228" i="24" s="1"/>
  <c r="N228" i="24" s="1"/>
  <c r="O228" i="24" s="1"/>
  <c r="K229" i="24"/>
  <c r="L229" i="24" s="1"/>
  <c r="M229" i="24" s="1"/>
  <c r="N229" i="24" s="1"/>
  <c r="O229" i="24" s="1"/>
  <c r="K218" i="24"/>
  <c r="L218" i="24" s="1"/>
  <c r="M218" i="24" s="1"/>
  <c r="N218" i="24" s="1"/>
  <c r="O218" i="24" s="1"/>
  <c r="K230" i="24"/>
  <c r="L230" i="24" s="1"/>
  <c r="M230" i="24" s="1"/>
  <c r="N230" i="24" s="1"/>
  <c r="P230" i="24" s="1"/>
  <c r="K221" i="24"/>
  <c r="L221" i="24" s="1"/>
  <c r="M221" i="24" s="1"/>
  <c r="N221" i="24" s="1"/>
  <c r="P221" i="24" s="1"/>
  <c r="O225" i="24"/>
  <c r="P225" i="24"/>
  <c r="O219" i="24"/>
  <c r="P219" i="24"/>
  <c r="O233" i="24"/>
  <c r="P233" i="24"/>
  <c r="O222" i="24"/>
  <c r="P222" i="24"/>
  <c r="H47" i="16"/>
  <c r="C56" i="24"/>
  <c r="C52" i="24"/>
  <c r="H43" i="16"/>
  <c r="C57" i="24"/>
  <c r="H48" i="16"/>
  <c r="O224" i="24" l="1"/>
  <c r="O231" i="24"/>
  <c r="O216" i="24"/>
  <c r="P218" i="24"/>
  <c r="P226" i="24"/>
  <c r="P223" i="24"/>
  <c r="P232" i="24"/>
  <c r="P217" i="24"/>
  <c r="P220" i="24"/>
  <c r="O227" i="24"/>
  <c r="P229" i="24"/>
  <c r="P228" i="24"/>
  <c r="O221" i="24"/>
  <c r="O230" i="24"/>
  <c r="Q233" i="24"/>
  <c r="J81" i="24"/>
  <c r="F47" i="16"/>
  <c r="G47" i="16"/>
  <c r="J82" i="24"/>
  <c r="F48" i="16"/>
  <c r="G48" i="16"/>
  <c r="F43" i="16"/>
  <c r="G43" i="16"/>
  <c r="J77" i="24"/>
  <c r="Q225" i="24"/>
  <c r="Q234" i="24"/>
  <c r="Q222" i="24"/>
  <c r="Q224" i="24" l="1"/>
  <c r="Q219" i="24"/>
  <c r="Q217" i="24"/>
  <c r="Q231" i="24"/>
  <c r="Q226" i="24"/>
  <c r="Q227" i="24"/>
  <c r="Q229" i="24"/>
  <c r="Q223" i="24"/>
  <c r="Q230" i="24"/>
  <c r="Q232" i="24"/>
  <c r="Q220" i="24"/>
  <c r="Q218" i="24"/>
  <c r="Q228" i="24"/>
  <c r="O235" i="24"/>
  <c r="S213" i="24" s="1"/>
  <c r="Q216" i="24"/>
  <c r="Q221" i="24"/>
  <c r="H46" i="16"/>
  <c r="J84" i="24"/>
  <c r="R234" i="24"/>
  <c r="S234" i="24" l="1"/>
  <c r="T234" i="24" s="1"/>
  <c r="U234" i="24" s="1"/>
  <c r="V234" i="24" s="1"/>
  <c r="Q235" i="24"/>
  <c r="R216" i="24" s="1"/>
  <c r="S216" i="24" s="1"/>
  <c r="T216" i="24" s="1"/>
  <c r="U216" i="24" s="1"/>
  <c r="W216" i="24" s="1"/>
  <c r="R233" i="24"/>
  <c r="S233" i="24" s="1"/>
  <c r="T233" i="24" s="1"/>
  <c r="U233" i="24" s="1"/>
  <c r="W233" i="24" s="1"/>
  <c r="C55" i="24"/>
  <c r="R228" i="24"/>
  <c r="S228" i="24" s="1"/>
  <c r="T228" i="24" s="1"/>
  <c r="U228" i="24" s="1"/>
  <c r="W228" i="24" s="1"/>
  <c r="R231" i="24"/>
  <c r="S231" i="24" s="1"/>
  <c r="T231" i="24" s="1"/>
  <c r="U231" i="24" s="1"/>
  <c r="W231" i="24" s="1"/>
  <c r="R227" i="24"/>
  <c r="S227" i="24" s="1"/>
  <c r="T227" i="24" s="1"/>
  <c r="U227" i="24" s="1"/>
  <c r="R225" i="24"/>
  <c r="S225" i="24" s="1"/>
  <c r="T225" i="24" s="1"/>
  <c r="U225" i="24" s="1"/>
  <c r="W225" i="24" s="1"/>
  <c r="R223" i="24"/>
  <c r="S223" i="24" s="1"/>
  <c r="T223" i="24" s="1"/>
  <c r="U223" i="24" s="1"/>
  <c r="W223" i="24" s="1"/>
  <c r="R229" i="24"/>
  <c r="S229" i="24" s="1"/>
  <c r="T229" i="24" s="1"/>
  <c r="U229" i="24" s="1"/>
  <c r="W229" i="24" s="1"/>
  <c r="R230" i="24"/>
  <c r="S230" i="24" s="1"/>
  <c r="T230" i="24" s="1"/>
  <c r="U230" i="24" s="1"/>
  <c r="R222" i="24"/>
  <c r="S222" i="24" s="1"/>
  <c r="T222" i="24" s="1"/>
  <c r="U222" i="24" s="1"/>
  <c r="W222" i="24" s="1"/>
  <c r="R217" i="24" l="1"/>
  <c r="S217" i="24" s="1"/>
  <c r="T217" i="24" s="1"/>
  <c r="U217" i="24" s="1"/>
  <c r="V217" i="24" s="1"/>
  <c r="R232" i="24"/>
  <c r="S232" i="24" s="1"/>
  <c r="T232" i="24" s="1"/>
  <c r="U232" i="24" s="1"/>
  <c r="W232" i="24" s="1"/>
  <c r="R224" i="24"/>
  <c r="S224" i="24" s="1"/>
  <c r="T224" i="24" s="1"/>
  <c r="U224" i="24" s="1"/>
  <c r="V224" i="24" s="1"/>
  <c r="R226" i="24"/>
  <c r="S226" i="24" s="1"/>
  <c r="T226" i="24" s="1"/>
  <c r="U226" i="24" s="1"/>
  <c r="W226" i="24" s="1"/>
  <c r="R219" i="24"/>
  <c r="S219" i="24" s="1"/>
  <c r="T219" i="24" s="1"/>
  <c r="U219" i="24" s="1"/>
  <c r="W219" i="24" s="1"/>
  <c r="R221" i="24"/>
  <c r="S221" i="24" s="1"/>
  <c r="T221" i="24" s="1"/>
  <c r="U221" i="24" s="1"/>
  <c r="W221" i="24" s="1"/>
  <c r="R220" i="24"/>
  <c r="S220" i="24" s="1"/>
  <c r="T220" i="24" s="1"/>
  <c r="U220" i="24" s="1"/>
  <c r="W220" i="24" s="1"/>
  <c r="R218" i="24"/>
  <c r="S218" i="24" s="1"/>
  <c r="T218" i="24" s="1"/>
  <c r="U218" i="24" s="1"/>
  <c r="W218" i="24" s="1"/>
  <c r="W234" i="24"/>
  <c r="V230" i="24"/>
  <c r="W230" i="24"/>
  <c r="V227" i="24"/>
  <c r="W227" i="24"/>
  <c r="V216" i="24"/>
  <c r="E84" i="24"/>
  <c r="D84" i="24"/>
  <c r="K84" i="24"/>
  <c r="C84" i="24"/>
  <c r="J80" i="24"/>
  <c r="G46" i="16"/>
  <c r="V233" i="24"/>
  <c r="G84" i="24"/>
  <c r="F84" i="24"/>
  <c r="I84" i="24"/>
  <c r="F46" i="16"/>
  <c r="H84" i="24"/>
  <c r="V228" i="24"/>
  <c r="V231" i="24"/>
  <c r="V225" i="24"/>
  <c r="V223" i="24"/>
  <c r="V229" i="24"/>
  <c r="V222" i="24"/>
  <c r="W217" i="24" l="1"/>
  <c r="V232" i="24"/>
  <c r="W224" i="24"/>
  <c r="V226" i="24"/>
  <c r="V219" i="24"/>
  <c r="V221" i="24"/>
  <c r="C89" i="24"/>
  <c r="C90" i="24"/>
  <c r="C92" i="24"/>
  <c r="C91" i="24"/>
  <c r="V220" i="24"/>
  <c r="V218" i="24"/>
  <c r="G50" i="16"/>
  <c r="X233" i="24"/>
  <c r="X232" i="24"/>
  <c r="X225" i="24"/>
  <c r="X227" i="24"/>
  <c r="X231" i="24"/>
  <c r="X223" i="24"/>
  <c r="X229" i="24"/>
  <c r="X217" i="24"/>
  <c r="X234" i="24"/>
  <c r="X222" i="24"/>
  <c r="X230" i="24"/>
  <c r="X216" i="24" l="1"/>
  <c r="X228" i="24"/>
  <c r="X226" i="24"/>
  <c r="X218" i="24"/>
  <c r="X219" i="24"/>
  <c r="X221" i="24"/>
  <c r="X220" i="24"/>
  <c r="X224" i="24"/>
  <c r="D13" i="16"/>
  <c r="V235" i="24"/>
  <c r="Y213" i="24" s="1"/>
  <c r="W235" i="24" l="1"/>
  <c r="Y234" i="24" s="1"/>
  <c r="Z234" i="24" s="1"/>
  <c r="AA234" i="24" s="1"/>
  <c r="AB234" i="24" s="1"/>
  <c r="AC234" i="24" s="1"/>
  <c r="Y233" i="24"/>
  <c r="Z233" i="24" s="1"/>
  <c r="AA233" i="24" s="1"/>
  <c r="AB233" i="24" s="1"/>
  <c r="Y219" i="24"/>
  <c r="Z219" i="24" s="1"/>
  <c r="AA219" i="24" s="1"/>
  <c r="AB219" i="24" s="1"/>
  <c r="Y227" i="24"/>
  <c r="Z227" i="24" s="1"/>
  <c r="AA227" i="24" s="1"/>
  <c r="AB227" i="24" s="1"/>
  <c r="Y231" i="24"/>
  <c r="Z231" i="24" s="1"/>
  <c r="AA231" i="24" s="1"/>
  <c r="AB231" i="24" s="1"/>
  <c r="Y229" i="24"/>
  <c r="Z229" i="24" s="1"/>
  <c r="AA229" i="24" s="1"/>
  <c r="AB229" i="24" s="1"/>
  <c r="Y225" i="24"/>
  <c r="Z225" i="24" s="1"/>
  <c r="AA225" i="24" s="1"/>
  <c r="AB225" i="24" s="1"/>
  <c r="Y230" i="24"/>
  <c r="Z230" i="24" s="1"/>
  <c r="AA230" i="24" s="1"/>
  <c r="AB230" i="24" s="1"/>
  <c r="Y217" i="24"/>
  <c r="Z217" i="24" s="1"/>
  <c r="AA217" i="24" s="1"/>
  <c r="AB217" i="24" s="1"/>
  <c r="Y222" i="24"/>
  <c r="Z222" i="24" s="1"/>
  <c r="AA222" i="24" s="1"/>
  <c r="AB222" i="24" s="1"/>
  <c r="Y223" i="24" l="1"/>
  <c r="Z223" i="24" s="1"/>
  <c r="AA223" i="24" s="1"/>
  <c r="AB223" i="24" s="1"/>
  <c r="Y218" i="24"/>
  <c r="Z218" i="24" s="1"/>
  <c r="AA218" i="24" s="1"/>
  <c r="AB218" i="24" s="1"/>
  <c r="AD218" i="24" s="1"/>
  <c r="Y228" i="24"/>
  <c r="Z228" i="24" s="1"/>
  <c r="AA228" i="24" s="1"/>
  <c r="AB228" i="24" s="1"/>
  <c r="J124" i="30" s="1"/>
  <c r="Y226" i="24"/>
  <c r="Z226" i="24" s="1"/>
  <c r="AA226" i="24" s="1"/>
  <c r="AB226" i="24" s="1"/>
  <c r="AE226" i="24" s="1"/>
  <c r="Y232" i="24"/>
  <c r="Z232" i="24" s="1"/>
  <c r="AA232" i="24" s="1"/>
  <c r="AB232" i="24" s="1"/>
  <c r="D65" i="27" s="1"/>
  <c r="E65" i="27" s="1"/>
  <c r="F65" i="27" s="1"/>
  <c r="Y224" i="24"/>
  <c r="Z224" i="24" s="1"/>
  <c r="AA224" i="24" s="1"/>
  <c r="AB224" i="24" s="1"/>
  <c r="AD224" i="24" s="1"/>
  <c r="Y216" i="24"/>
  <c r="Z216" i="24" s="1"/>
  <c r="AA216" i="24" s="1"/>
  <c r="Y221" i="24"/>
  <c r="Z221" i="24" s="1"/>
  <c r="AA221" i="24" s="1"/>
  <c r="AB221" i="24" s="1"/>
  <c r="AE221" i="24" s="1"/>
  <c r="Y220" i="24"/>
  <c r="Z220" i="24" s="1"/>
  <c r="AA220" i="24" s="1"/>
  <c r="AB220" i="24" s="1"/>
  <c r="AD220" i="24" s="1"/>
  <c r="D67" i="27"/>
  <c r="E67" i="27" s="1"/>
  <c r="F67" i="27" s="1"/>
  <c r="J114" i="30"/>
  <c r="AE218" i="24"/>
  <c r="AF218" i="24"/>
  <c r="J121" i="30"/>
  <c r="AE225" i="24"/>
  <c r="AD225" i="24"/>
  <c r="AF225" i="24"/>
  <c r="J123" i="30"/>
  <c r="AE227" i="24"/>
  <c r="AD227" i="24"/>
  <c r="AF227" i="24"/>
  <c r="J115" i="30"/>
  <c r="AE219" i="24"/>
  <c r="AD219" i="24"/>
  <c r="AF219" i="24"/>
  <c r="J126" i="30"/>
  <c r="AF230" i="24"/>
  <c r="AE230" i="24"/>
  <c r="AD230" i="24"/>
  <c r="AE228" i="24"/>
  <c r="AF228" i="24"/>
  <c r="AD228" i="24"/>
  <c r="J127" i="30"/>
  <c r="AD231" i="24"/>
  <c r="AF231" i="24"/>
  <c r="AE231" i="24"/>
  <c r="J119" i="30"/>
  <c r="AF223" i="24"/>
  <c r="AE223" i="24"/>
  <c r="AD223" i="24"/>
  <c r="AF226" i="24"/>
  <c r="J128" i="30"/>
  <c r="AD232" i="24"/>
  <c r="AF232" i="24"/>
  <c r="AE232" i="24"/>
  <c r="J118" i="30"/>
  <c r="AF222" i="24"/>
  <c r="AD222" i="24"/>
  <c r="AE222" i="24"/>
  <c r="J129" i="30"/>
  <c r="AD233" i="24"/>
  <c r="AE233" i="24"/>
  <c r="AF233" i="24"/>
  <c r="J125" i="30"/>
  <c r="AF229" i="24"/>
  <c r="AE229" i="24"/>
  <c r="AD229" i="24"/>
  <c r="J113" i="30"/>
  <c r="AD217" i="24"/>
  <c r="AF217" i="24"/>
  <c r="AE217" i="24"/>
  <c r="J130" i="30"/>
  <c r="AD234" i="24"/>
  <c r="AE234" i="24"/>
  <c r="AF234" i="24"/>
  <c r="J122" i="30"/>
  <c r="D59" i="27"/>
  <c r="E59" i="27" s="1"/>
  <c r="F59" i="27" s="1"/>
  <c r="AC219" i="24"/>
  <c r="AC233" i="24"/>
  <c r="D66" i="27"/>
  <c r="E66" i="27" s="1"/>
  <c r="F66" i="27" s="1"/>
  <c r="AC227" i="24"/>
  <c r="D64" i="27"/>
  <c r="E64" i="27" s="1"/>
  <c r="F64" i="27" s="1"/>
  <c r="AC228" i="24"/>
  <c r="D61" i="27"/>
  <c r="E61" i="27" s="1"/>
  <c r="F61" i="27" s="1"/>
  <c r="D51" i="27"/>
  <c r="AC218" i="24"/>
  <c r="D52" i="27"/>
  <c r="E52" i="27" s="1"/>
  <c r="F52" i="27" s="1"/>
  <c r="D60" i="27"/>
  <c r="E60" i="27" s="1"/>
  <c r="F60" i="27" s="1"/>
  <c r="AC231" i="24"/>
  <c r="D63" i="27"/>
  <c r="E63" i="27" s="1"/>
  <c r="F63" i="27" s="1"/>
  <c r="AC223" i="24"/>
  <c r="D62" i="27"/>
  <c r="E62" i="27" s="1"/>
  <c r="F62" i="27" s="1"/>
  <c r="D56" i="27"/>
  <c r="E56" i="27" s="1"/>
  <c r="F56" i="27" s="1"/>
  <c r="AC229" i="24"/>
  <c r="AC225" i="24"/>
  <c r="D58" i="27"/>
  <c r="E58" i="27" s="1"/>
  <c r="F58" i="27" s="1"/>
  <c r="D50" i="27"/>
  <c r="E50" i="27" s="1"/>
  <c r="F50" i="27" s="1"/>
  <c r="D55" i="27"/>
  <c r="E55" i="27" s="1"/>
  <c r="F55" i="27" s="1"/>
  <c r="AC230" i="24"/>
  <c r="AC222" i="24"/>
  <c r="AC226" i="24"/>
  <c r="AC217" i="24"/>
  <c r="AD226" i="24" l="1"/>
  <c r="AC232" i="24"/>
  <c r="AC220" i="24"/>
  <c r="D53" i="27"/>
  <c r="E53" i="27" s="1"/>
  <c r="F53" i="27" s="1"/>
  <c r="D57" i="27"/>
  <c r="E57" i="27" s="1"/>
  <c r="F57" i="27" s="1"/>
  <c r="AC224" i="24"/>
  <c r="AF220" i="24"/>
  <c r="AE220" i="24"/>
  <c r="J116" i="30"/>
  <c r="AE224" i="24"/>
  <c r="AF224" i="24"/>
  <c r="J120" i="30"/>
  <c r="J117" i="30"/>
  <c r="AC221" i="24"/>
  <c r="AD221" i="24"/>
  <c r="AF221" i="24"/>
  <c r="D54" i="27"/>
  <c r="E54" i="27" s="1"/>
  <c r="F54" i="27" s="1"/>
  <c r="AB216" i="24"/>
  <c r="J112" i="30" s="1"/>
  <c r="E51" i="27"/>
  <c r="F51" i="27" s="1"/>
  <c r="AE216" i="24" l="1"/>
  <c r="E240" i="24" s="1"/>
  <c r="E242" i="24" s="1"/>
  <c r="AD216" i="24"/>
  <c r="D240" i="24" s="1"/>
  <c r="D242" i="24" s="1"/>
  <c r="AF216" i="24"/>
  <c r="F240" i="24" s="1"/>
  <c r="F242" i="24" s="1"/>
  <c r="AC216" i="24"/>
  <c r="C240" i="24" s="1"/>
  <c r="D49" i="27"/>
  <c r="E49" i="27" s="1"/>
  <c r="F49" i="27" s="1"/>
  <c r="AC235" i="24" l="1"/>
  <c r="E99" i="30" s="1"/>
  <c r="E243" i="24"/>
  <c r="E39" i="27" s="1"/>
  <c r="E35" i="27"/>
  <c r="C101" i="24" s="1"/>
  <c r="C102" i="24" s="1"/>
  <c r="F68" i="27"/>
  <c r="D75" i="27" s="1"/>
  <c r="E18" i="27" s="1"/>
  <c r="E21" i="27" s="1"/>
  <c r="AH217" i="24" l="1"/>
  <c r="E41" i="27"/>
  <c r="E103" i="30" s="1"/>
  <c r="D243" i="24"/>
  <c r="F243" i="24"/>
  <c r="E38" i="27" s="1"/>
  <c r="E102" i="30" s="1"/>
  <c r="G18" i="27"/>
  <c r="D87" i="27"/>
  <c r="D88" i="27" s="1"/>
  <c r="D89" i="27" s="1"/>
  <c r="D92" i="27" s="1"/>
  <c r="D95" i="27" s="1"/>
  <c r="E37" i="27" l="1"/>
  <c r="E101" i="30" s="1"/>
  <c r="E87" i="27"/>
  <c r="E88" i="27"/>
  <c r="D134" i="24"/>
  <c r="D136" i="24"/>
  <c r="G21" i="27"/>
  <c r="D135" i="24"/>
  <c r="E89" i="27"/>
  <c r="E14" i="27" l="1"/>
  <c r="E95" i="27"/>
  <c r="E92" i="27"/>
  <c r="E52" i="1" l="1"/>
  <c r="G37" i="1"/>
  <c r="G52" i="1" l="1"/>
  <c r="E27" i="1"/>
  <c r="F13" i="16"/>
  <c r="G27" i="1" l="1"/>
  <c r="E45" i="1"/>
  <c r="G45" i="1" l="1"/>
  <c r="D18" i="16" l="1"/>
  <c r="F18" i="16" s="1"/>
  <c r="D21" i="16"/>
  <c r="F21" i="16" s="1"/>
  <c r="D19" i="16"/>
  <c r="F19" i="16" s="1"/>
  <c r="D20" i="16"/>
  <c r="F20" i="16" s="1"/>
  <c r="E28" i="1"/>
  <c r="G14" i="27"/>
  <c r="G28" i="1" l="1"/>
  <c r="G46" i="1" s="1"/>
  <c r="C280" i="24"/>
  <c r="C281" i="24" s="1"/>
  <c r="C297" i="24" s="1"/>
  <c r="E46" i="1"/>
  <c r="C283" i="24" l="1"/>
  <c r="D288" i="24" s="1"/>
  <c r="D293" i="24" s="1"/>
  <c r="G293" i="24" s="1"/>
  <c r="D286" i="24" l="1"/>
  <c r="D291" i="24" s="1"/>
  <c r="G291" i="24" s="1"/>
  <c r="D287" i="24"/>
  <c r="D292" i="24" s="1"/>
  <c r="G292" i="24" s="1"/>
  <c r="G294" i="24" l="1"/>
  <c r="C298" i="24" s="1"/>
  <c r="C300" i="24" s="1"/>
  <c r="E16" i="28" s="1"/>
  <c r="E29" i="1" s="1"/>
  <c r="D294" i="24"/>
  <c r="F22" i="1" l="1"/>
  <c r="G31" i="1" s="1"/>
  <c r="E47" i="1"/>
  <c r="E17" i="28"/>
  <c r="E30" i="1"/>
  <c r="E31" i="1" s="1"/>
  <c r="G29" i="1"/>
  <c r="G47" i="1" s="1"/>
  <c r="E33" i="1" l="1"/>
  <c r="E35" i="1" s="1"/>
  <c r="D12" i="33" s="1"/>
  <c r="D14" i="33" s="1"/>
  <c r="D25" i="33" s="1"/>
  <c r="G30" i="1"/>
  <c r="E48" i="1"/>
  <c r="E50" i="1" s="1"/>
  <c r="E54" i="1" s="1"/>
  <c r="D29" i="33" l="1"/>
  <c r="D17" i="33"/>
  <c r="G48" i="1"/>
  <c r="G50" i="1" s="1"/>
  <c r="G54" i="1" s="1"/>
  <c r="G33" i="1"/>
  <c r="G35" i="1" s="1"/>
  <c r="G3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<sst xmlns="http://schemas.openxmlformats.org/spreadsheetml/2006/main" count="1130" uniqueCount="682">
  <si>
    <t>Housing</t>
  </si>
  <si>
    <t>Food</t>
  </si>
  <si>
    <t>NFNH</t>
  </si>
  <si>
    <t>Margins (unexpected events)</t>
  </si>
  <si>
    <t>Cost of basic but decent life for a typical household</t>
  </si>
  <si>
    <t>Income tax</t>
  </si>
  <si>
    <t>Region</t>
  </si>
  <si>
    <t>Country</t>
  </si>
  <si>
    <t>Zone</t>
  </si>
  <si>
    <t>input open</t>
  </si>
  <si>
    <t>input dropdown selection</t>
  </si>
  <si>
    <t>Calculated</t>
  </si>
  <si>
    <t>Assumptions</t>
  </si>
  <si>
    <t>Number of adults</t>
  </si>
  <si>
    <t>Household size</t>
  </si>
  <si>
    <t>Fertility rate</t>
  </si>
  <si>
    <t>Child mortality under five</t>
  </si>
  <si>
    <t>Urban</t>
  </si>
  <si>
    <t>Peri-urban</t>
  </si>
  <si>
    <t>Rural</t>
  </si>
  <si>
    <t>Source</t>
  </si>
  <si>
    <t>Unemployment rate</t>
  </si>
  <si>
    <t>Prepared cereals</t>
  </si>
  <si>
    <t>Starchy fruit or vegetable</t>
  </si>
  <si>
    <t>Dairy</t>
  </si>
  <si>
    <t>Eggs</t>
  </si>
  <si>
    <t>Other vegetables</t>
  </si>
  <si>
    <t>Fruits</t>
  </si>
  <si>
    <t>Nonalcoholic beverages</t>
  </si>
  <si>
    <t xml:space="preserve"> </t>
  </si>
  <si>
    <t>Adult female</t>
  </si>
  <si>
    <t>Children</t>
  </si>
  <si>
    <t>Adult male equivalent</t>
  </si>
  <si>
    <t>Dietary references calories per day</t>
  </si>
  <si>
    <t>Deviation factors</t>
  </si>
  <si>
    <t>Children (0 - 18)</t>
  </si>
  <si>
    <t>Calories</t>
  </si>
  <si>
    <t>Price 1</t>
  </si>
  <si>
    <t>Price 2</t>
  </si>
  <si>
    <t>Price 3</t>
  </si>
  <si>
    <t>Price 4</t>
  </si>
  <si>
    <t>Price 5</t>
  </si>
  <si>
    <t>Price 6</t>
  </si>
  <si>
    <t>Price 7</t>
  </si>
  <si>
    <t>Price 8</t>
  </si>
  <si>
    <t>Price 9</t>
  </si>
  <si>
    <t>Healthcare</t>
  </si>
  <si>
    <t>Transport</t>
  </si>
  <si>
    <t>NFNH cost</t>
  </si>
  <si>
    <t>Electricity</t>
  </si>
  <si>
    <t>Water</t>
  </si>
  <si>
    <t>Total</t>
  </si>
  <si>
    <t>Guidance</t>
  </si>
  <si>
    <t>What is the age of the participant? / When were you born?</t>
  </si>
  <si>
    <t>What is the gender of the participant?</t>
  </si>
  <si>
    <t>How many people live in the house (permanently)?</t>
  </si>
  <si>
    <t>Number of full-time workers in the family</t>
  </si>
  <si>
    <t>Number of part-time workers in the family</t>
  </si>
  <si>
    <t>Number of children</t>
  </si>
  <si>
    <t>Total surface</t>
  </si>
  <si>
    <t>Materials used for walls</t>
  </si>
  <si>
    <t>Materials used for roof</t>
  </si>
  <si>
    <t>Materials used for floors</t>
  </si>
  <si>
    <t>How much do you pay for water?</t>
  </si>
  <si>
    <t>Education</t>
  </si>
  <si>
    <t>Low bound</t>
  </si>
  <si>
    <t>High bound</t>
  </si>
  <si>
    <t>Income</t>
  </si>
  <si>
    <t>Tax rate</t>
  </si>
  <si>
    <t>Cumulative tax</t>
  </si>
  <si>
    <t>Fixed amount</t>
  </si>
  <si>
    <t>Marginal rate</t>
  </si>
  <si>
    <t>Effective rate</t>
  </si>
  <si>
    <t>National</t>
  </si>
  <si>
    <t>Regional</t>
  </si>
  <si>
    <t>Instruction</t>
  </si>
  <si>
    <t>Clothing and footwear</t>
  </si>
  <si>
    <t>Furnishings, household equipment and routine household maintenance</t>
  </si>
  <si>
    <t>Health</t>
  </si>
  <si>
    <t>Communication</t>
  </si>
  <si>
    <t>Recreation and culture</t>
  </si>
  <si>
    <t>Household size (final calculation)</t>
  </si>
  <si>
    <t>Restaurants and hotels</t>
  </si>
  <si>
    <t>Miscellaneous goods and services</t>
  </si>
  <si>
    <t>Food and non-alcoholic beverages</t>
  </si>
  <si>
    <t>Alcoholic Beverages, Tobacco, and Narcotics</t>
  </si>
  <si>
    <t>Housing, Water, Electricity, Gas and Other Fuels</t>
  </si>
  <si>
    <t>Zone:</t>
  </si>
  <si>
    <t>Corrected fertility rate</t>
  </si>
  <si>
    <t>Number of children (method 1)</t>
  </si>
  <si>
    <t>Number of children (method 2)</t>
  </si>
  <si>
    <t>Probability of full time equivalent work per person</t>
  </si>
  <si>
    <t>Probability of full time equivalent work per person (number)</t>
  </si>
  <si>
    <t>Number of FTE in household</t>
  </si>
  <si>
    <t>Food cost</t>
  </si>
  <si>
    <t>Total Cost</t>
  </si>
  <si>
    <t>Average differnce vs. Postchecks</t>
  </si>
  <si>
    <t>Final NFNH</t>
  </si>
  <si>
    <t>CPI Weights to use (national or regional)</t>
  </si>
  <si>
    <t>Amount from survey data</t>
  </si>
  <si>
    <t>Category</t>
  </si>
  <si>
    <t>Item</t>
  </si>
  <si>
    <t>Cereals and Grains</t>
  </si>
  <si>
    <t>Roots &amp; tubers (starchy)</t>
  </si>
  <si>
    <t>Pulses, legumes, beans</t>
  </si>
  <si>
    <t>Green leafy vegetables</t>
  </si>
  <si>
    <t>Oils &amp; Fats</t>
  </si>
  <si>
    <t>Price 10</t>
  </si>
  <si>
    <t>Price 11</t>
  </si>
  <si>
    <t>Price 12</t>
  </si>
  <si>
    <t>Price 13</t>
  </si>
  <si>
    <t>Price 14</t>
  </si>
  <si>
    <t>Price 15</t>
  </si>
  <si>
    <t>Price 16</t>
  </si>
  <si>
    <t>Price 17</t>
  </si>
  <si>
    <t>Price 18</t>
  </si>
  <si>
    <t>Price 19</t>
  </si>
  <si>
    <t>Price 20</t>
  </si>
  <si>
    <t>Price 21</t>
  </si>
  <si>
    <t>Price 22</t>
  </si>
  <si>
    <t>Price 23</t>
  </si>
  <si>
    <t>Price 24</t>
  </si>
  <si>
    <t>Participant</t>
  </si>
  <si>
    <t>Line item</t>
  </si>
  <si>
    <t>Age</t>
  </si>
  <si>
    <t>Gender</t>
  </si>
  <si>
    <t>Number of rooms</t>
  </si>
  <si>
    <t xml:space="preserve">Household size </t>
  </si>
  <si>
    <t>Adults in Household</t>
  </si>
  <si>
    <t>Identified as full-time working adults</t>
  </si>
  <si>
    <t>Identified as part-time working adults</t>
  </si>
  <si>
    <t>Total space (sq mt)</t>
  </si>
  <si>
    <t>Persons per room</t>
  </si>
  <si>
    <t>Durable walls</t>
  </si>
  <si>
    <t>Durable roof</t>
  </si>
  <si>
    <t>Durable floor</t>
  </si>
  <si>
    <t>Safe sanitation?</t>
  </si>
  <si>
    <t>Access to water</t>
  </si>
  <si>
    <t>Access to electricity</t>
  </si>
  <si>
    <t>Availability of electricity</t>
  </si>
  <si>
    <t>Floor</t>
  </si>
  <si>
    <t>Roof</t>
  </si>
  <si>
    <t>Walls</t>
  </si>
  <si>
    <t>Safe Toilet</t>
  </si>
  <si>
    <t>Minimum space per person (sqm)</t>
  </si>
  <si>
    <t>FTE</t>
  </si>
  <si>
    <t>Availability</t>
  </si>
  <si>
    <t>Most availble in category</t>
  </si>
  <si>
    <t>Protein (g)</t>
  </si>
  <si>
    <t>Fat, total (g)</t>
  </si>
  <si>
    <t>Carbohydrate (g)</t>
  </si>
  <si>
    <t>https://reedir.arsnet.usda.gov/codesearchwebapp/(S(quhg4cjj0v0s2mbsualpdgns))/codesearch.aspx</t>
  </si>
  <si>
    <t>Edible portion</t>
  </si>
  <si>
    <t>Price per calorie</t>
  </si>
  <si>
    <t>http://www.fao.org/infoods/infoods/tables-and-databases/africa/en/</t>
  </si>
  <si>
    <t>Final rank</t>
  </si>
  <si>
    <t>lookup</t>
  </si>
  <si>
    <t>Count false</t>
  </si>
  <si>
    <t>subtract</t>
  </si>
  <si>
    <t>Caloric content2</t>
  </si>
  <si>
    <t>Widely available?</t>
  </si>
  <si>
    <t>Price 25</t>
  </si>
  <si>
    <t>Fish</t>
  </si>
  <si>
    <t>Meats</t>
  </si>
  <si>
    <t>Proteins</t>
  </si>
  <si>
    <t>Carbs</t>
  </si>
  <si>
    <t>Fats</t>
  </si>
  <si>
    <t>Change item</t>
  </si>
  <si>
    <t>rank</t>
  </si>
  <si>
    <t>rank2</t>
  </si>
  <si>
    <t>dist</t>
  </si>
  <si>
    <t>dist2</t>
  </si>
  <si>
    <t>amt2</t>
  </si>
  <si>
    <t>extra2</t>
  </si>
  <si>
    <t>ITERATION 2</t>
  </si>
  <si>
    <t>ITERATION 3</t>
  </si>
  <si>
    <t>items i2</t>
  </si>
  <si>
    <t>items i1</t>
  </si>
  <si>
    <t>items i3</t>
  </si>
  <si>
    <t>rank 3</t>
  </si>
  <si>
    <t>dist 3</t>
  </si>
  <si>
    <t>amt3</t>
  </si>
  <si>
    <t>extra3</t>
  </si>
  <si>
    <t>amt (cal)</t>
  </si>
  <si>
    <t>extra (g)</t>
  </si>
  <si>
    <t>30 grams per day</t>
  </si>
  <si>
    <t>Min Dietary Req.</t>
  </si>
  <si>
    <t>Remaning Calories</t>
  </si>
  <si>
    <t>Total (g) i1</t>
  </si>
  <si>
    <t>Total (cal) i1</t>
  </si>
  <si>
    <t>Total (g) i2</t>
  </si>
  <si>
    <t>Total (cal) i2</t>
  </si>
  <si>
    <t>Final (g)</t>
  </si>
  <si>
    <t>Energy consumption target (kCal)</t>
  </si>
  <si>
    <t>Energy from fats</t>
  </si>
  <si>
    <t>Target</t>
  </si>
  <si>
    <t>55 - 75 %</t>
  </si>
  <si>
    <t>15 - 30 %</t>
  </si>
  <si>
    <t>Average</t>
  </si>
  <si>
    <t>Monthly Food Cost</t>
  </si>
  <si>
    <t>Estimated Daily Cost</t>
  </si>
  <si>
    <t>Energy from high quality proteins*</t>
  </si>
  <si>
    <t>*Pulses, legumes, beans and animal based proteins</t>
  </si>
  <si>
    <t>Option 1</t>
  </si>
  <si>
    <t>Option 2</t>
  </si>
  <si>
    <t>Option 3</t>
  </si>
  <si>
    <t>Dietary equivalences</t>
  </si>
  <si>
    <t>Adult (male)</t>
  </si>
  <si>
    <t>Adult (female)</t>
  </si>
  <si>
    <t>Consumption (kCal)</t>
  </si>
  <si>
    <t>Monthly Household Food Cost</t>
  </si>
  <si>
    <t>Energy from Carbohydrates</t>
  </si>
  <si>
    <t>Amount Min (g)</t>
  </si>
  <si>
    <t>Amount max (g)</t>
  </si>
  <si>
    <t>Additional items</t>
  </si>
  <si>
    <t>Salt, spices, condiments</t>
  </si>
  <si>
    <t>Wasteage and spoilage</t>
  </si>
  <si>
    <t>Variability</t>
  </si>
  <si>
    <t>Adult</t>
  </si>
  <si>
    <t>MALE</t>
  </si>
  <si>
    <t>Sedentary</t>
  </si>
  <si>
    <t>Moderate</t>
  </si>
  <si>
    <t>Vigorous</t>
  </si>
  <si>
    <t>PAL range</t>
  </si>
  <si>
    <t>1.40-1.69</t>
  </si>
  <si>
    <t>1.70-1.99</t>
  </si>
  <si>
    <t>2.00-2.40</t>
  </si>
  <si>
    <t>Mean PAL</t>
  </si>
  <si>
    <t>Calorie needs per day (BMR*PAL) - automatically filled in</t>
  </si>
  <si>
    <t>BMR from Schonfield equations</t>
  </si>
  <si>
    <t>Adult Males</t>
  </si>
  <si>
    <t>18-30</t>
  </si>
  <si>
    <t>30-60</t>
  </si>
  <si>
    <t>Cost per room</t>
  </si>
  <si>
    <t>Total Rooms</t>
  </si>
  <si>
    <t>Cost per sqmt</t>
  </si>
  <si>
    <t>Living space per person</t>
  </si>
  <si>
    <t>Adequate ventilation when cooking inside</t>
  </si>
  <si>
    <t>Option 4</t>
  </si>
  <si>
    <t>Option 5</t>
  </si>
  <si>
    <t>Option</t>
  </si>
  <si>
    <t>Energy Consumption Target</t>
  </si>
  <si>
    <t>Reference Household size</t>
  </si>
  <si>
    <t>Number of working adults</t>
  </si>
  <si>
    <r>
      <t xml:space="preserve">Source: </t>
    </r>
    <r>
      <rPr>
        <i/>
        <sz val="11"/>
        <color theme="1"/>
        <rFont val="Calibri"/>
        <family val="2"/>
        <scheme val="minor"/>
      </rPr>
      <t>https://link.springer.com/article/10.1007/s12571-020-01099-8</t>
    </r>
  </si>
  <si>
    <t>USD/month</t>
  </si>
  <si>
    <t>Exchange rate</t>
  </si>
  <si>
    <t>Results for Reference Household Size</t>
  </si>
  <si>
    <t>USD/adult male/day</t>
  </si>
  <si>
    <t>USD/adult male/month</t>
  </si>
  <si>
    <t>Non-consumption expenditures</t>
  </si>
  <si>
    <t>NFNH to Food ratio (prelimary)</t>
  </si>
  <si>
    <t>Average monthly expenses per person in education</t>
  </si>
  <si>
    <t>USD/person/month</t>
  </si>
  <si>
    <t>USD/year</t>
  </si>
  <si>
    <t>Total (estimated) cost</t>
  </si>
  <si>
    <t>Cost of rent only</t>
  </si>
  <si>
    <t>Cost of water</t>
  </si>
  <si>
    <t>Cost of electricity</t>
  </si>
  <si>
    <t>Cost of cooking fuels</t>
  </si>
  <si>
    <t>Rent</t>
  </si>
  <si>
    <t>Cooking fuels</t>
  </si>
  <si>
    <t>Instructions</t>
  </si>
  <si>
    <t>LCU to USD</t>
  </si>
  <si>
    <t>LCU/month</t>
  </si>
  <si>
    <t>Write the country of study</t>
  </si>
  <si>
    <t>Write the region of study</t>
  </si>
  <si>
    <t>Gather the most recent exchange rate from the source provided</t>
  </si>
  <si>
    <t>Net living wage (1 FTE sustaining the Reference Household)</t>
  </si>
  <si>
    <t>Gross living wage (1 FTE sustaining the Reference Household)</t>
  </si>
  <si>
    <t>1) DEFINE GEOGRAPHICAL FOCUS</t>
  </si>
  <si>
    <t>2) ESTIMATE REFERENCE HOUSEHOLD SIZE</t>
  </si>
  <si>
    <t>2A) Calculate number of children</t>
  </si>
  <si>
    <t>Setting the boundaries of the study</t>
  </si>
  <si>
    <t>LINK</t>
  </si>
  <si>
    <r>
      <t>Select always the</t>
    </r>
    <r>
      <rPr>
        <b/>
        <sz val="11"/>
        <color theme="8" tint="-0.499984740745262"/>
        <rFont val="Calibri"/>
        <family val="2"/>
        <scheme val="minor"/>
      </rPr>
      <t xml:space="preserve"> latest available data</t>
    </r>
  </si>
  <si>
    <r>
      <t>If you are carrying out a study for a URBAN AREA, then collect data from both the</t>
    </r>
    <r>
      <rPr>
        <b/>
        <sz val="11"/>
        <color theme="1"/>
        <rFont val="Calibri"/>
        <family val="2"/>
        <scheme val="minor"/>
      </rPr>
      <t xml:space="preserve"> </t>
    </r>
    <r>
      <rPr>
        <b/>
        <sz val="11"/>
        <color theme="8" tint="-0.499984740745262"/>
        <rFont val="Calibri"/>
        <family val="2"/>
        <scheme val="minor"/>
      </rPr>
      <t>Urban indicator</t>
    </r>
    <r>
      <rPr>
        <sz val="11"/>
        <color theme="1"/>
        <rFont val="Calibri"/>
        <family val="2"/>
        <scheme val="minor"/>
      </rPr>
      <t xml:space="preserve"> &amp; the </t>
    </r>
    <r>
      <rPr>
        <b/>
        <sz val="11"/>
        <color theme="8" tint="-0.499984740745262"/>
        <rFont val="Calibri"/>
        <family val="2"/>
        <scheme val="minor"/>
      </rPr>
      <t>region-specific indicator</t>
    </r>
    <r>
      <rPr>
        <sz val="11"/>
        <color theme="1"/>
        <rFont val="Calibri"/>
        <family val="2"/>
        <scheme val="minor"/>
      </rPr>
      <t>. Hence, you will need to collect two data points for each variable</t>
    </r>
  </si>
  <si>
    <r>
      <t xml:space="preserve">If you are carrying out a study for a PERI-URBAN AREA, then collect data only from the </t>
    </r>
    <r>
      <rPr>
        <b/>
        <sz val="11"/>
        <color theme="8" tint="-0.499984740745262"/>
        <rFont val="Calibri"/>
        <family val="2"/>
        <scheme val="minor"/>
      </rPr>
      <t>region-specific indicator</t>
    </r>
    <r>
      <rPr>
        <sz val="11"/>
        <color theme="1"/>
        <rFont val="Calibri"/>
        <family val="2"/>
        <scheme val="minor"/>
      </rPr>
      <t>. Hence, you will need to collect one data points for each variable</t>
    </r>
  </si>
  <si>
    <r>
      <t xml:space="preserve">If you are carrying out a study for a RURAL AREA, then collect data from both the </t>
    </r>
    <r>
      <rPr>
        <b/>
        <sz val="11"/>
        <color theme="8" tint="-0.499984740745262"/>
        <rFont val="Calibri"/>
        <family val="2"/>
        <scheme val="minor"/>
      </rPr>
      <t>Rural indicator</t>
    </r>
    <r>
      <rPr>
        <sz val="11"/>
        <color theme="8" tint="-0.499984740745262"/>
        <rFont val="Calibri"/>
        <family val="2"/>
        <scheme val="minor"/>
      </rPr>
      <t xml:space="preserve"> </t>
    </r>
    <r>
      <rPr>
        <sz val="11"/>
        <color theme="1"/>
        <rFont val="Calibri"/>
        <family val="2"/>
        <scheme val="minor"/>
      </rPr>
      <t xml:space="preserve">&amp; </t>
    </r>
    <r>
      <rPr>
        <b/>
        <sz val="11"/>
        <color theme="1"/>
        <rFont val="Calibri"/>
        <family val="2"/>
        <scheme val="minor"/>
      </rPr>
      <t>the</t>
    </r>
    <r>
      <rPr>
        <b/>
        <sz val="11"/>
        <color theme="8" tint="-0.499984740745262"/>
        <rFont val="Calibri"/>
        <family val="2"/>
        <scheme val="minor"/>
      </rPr>
      <t xml:space="preserve"> region-specific indicator</t>
    </r>
    <r>
      <rPr>
        <sz val="11"/>
        <color theme="1"/>
        <rFont val="Calibri"/>
        <family val="2"/>
        <scheme val="minor"/>
      </rPr>
      <t>. Hence, you will need to collect two data points for each variable</t>
    </r>
  </si>
  <si>
    <r>
      <rPr>
        <b/>
        <sz val="11"/>
        <color theme="8" tint="-0.499984740745262"/>
        <rFont val="Calibri"/>
        <family val="2"/>
        <scheme val="minor"/>
      </rPr>
      <t>Select the country</t>
    </r>
    <r>
      <rPr>
        <b/>
        <sz val="11"/>
        <color theme="1"/>
        <rFont val="Calibri"/>
        <family val="2"/>
        <scheme val="minor"/>
      </rPr>
      <t xml:space="preserve"> </t>
    </r>
    <r>
      <rPr>
        <sz val="11"/>
        <color theme="1"/>
        <rFont val="Calibri"/>
        <family val="2"/>
        <scheme val="minor"/>
      </rPr>
      <t>of your study</t>
    </r>
  </si>
  <si>
    <t>2B) Calculate number of workers in the family</t>
  </si>
  <si>
    <t xml:space="preserve">The data for this section (2B) will need to be gathered from: </t>
  </si>
  <si>
    <t xml:space="preserve">The data for this section (2A) will need to be gathered from: </t>
  </si>
  <si>
    <t>Labour force participation rate</t>
  </si>
  <si>
    <t>Zone (code):</t>
  </si>
  <si>
    <t>Select one zone for the study from the drop-down menu (urban, peri-urban, rural)</t>
  </si>
  <si>
    <t>Time-related underemployment rate</t>
  </si>
  <si>
    <t>Estimating food costs</t>
  </si>
  <si>
    <t>1) ESTIMATE FOOD COSTS FOR REFERENCE SIZE FAMILY</t>
  </si>
  <si>
    <t>Unit</t>
  </si>
  <si>
    <t>Male</t>
  </si>
  <si>
    <t>Female</t>
  </si>
  <si>
    <t>Stature ratio (male to female)</t>
  </si>
  <si>
    <t>Background calculations &amp; assumptions</t>
  </si>
  <si>
    <t>Activity Level (of adult male)</t>
  </si>
  <si>
    <t xml:space="preserve">Select the activity level for the adult male. Select "sedentary" for office-type jobs and "vigorous" for agricultural or heavy-type of work. </t>
  </si>
  <si>
    <t>kcal/day</t>
  </si>
  <si>
    <t>Model diet cost for one adult (male)</t>
  </si>
  <si>
    <t>FOOD COSTS</t>
  </si>
  <si>
    <t>30 to 34 grams per day</t>
  </si>
  <si>
    <t>Value</t>
  </si>
  <si>
    <t>MODEL DIET</t>
  </si>
  <si>
    <t>1A) Calculate the energy consumption requirement</t>
  </si>
  <si>
    <t>Model Diet Intake</t>
  </si>
  <si>
    <t>LIST - Food item selection</t>
  </si>
  <si>
    <t>LIST - Activity Level</t>
  </si>
  <si>
    <t>Totals</t>
  </si>
  <si>
    <t>Energy equivalences</t>
  </si>
  <si>
    <t>Conversion factor</t>
  </si>
  <si>
    <t>Contribution to diet</t>
  </si>
  <si>
    <t>Total Consumption Values</t>
  </si>
  <si>
    <t>Food consumption calculation</t>
  </si>
  <si>
    <t>FINAL</t>
  </si>
  <si>
    <t>F/M Ratio</t>
  </si>
  <si>
    <t>Houshold Composition</t>
  </si>
  <si>
    <t>total # in household</t>
  </si>
  <si>
    <t>1C) Refine model diet to meet WHO recommendations</t>
  </si>
  <si>
    <t>Estimating housing costs</t>
  </si>
  <si>
    <t>HOUSING COSTS</t>
  </si>
  <si>
    <t>Cooking Fuel</t>
  </si>
  <si>
    <t>Housing Survey Results</t>
  </si>
  <si>
    <t>Decent Housing Standard</t>
  </si>
  <si>
    <t>Survey #1</t>
  </si>
  <si>
    <t>Survey #2</t>
  </si>
  <si>
    <t>Survey #3</t>
  </si>
  <si>
    <t>Survey #4</t>
  </si>
  <si>
    <t>Survey #5</t>
  </si>
  <si>
    <t>Survey #6</t>
  </si>
  <si>
    <t>Survey #7</t>
  </si>
  <si>
    <t>Survey #8</t>
  </si>
  <si>
    <t>Survey #9</t>
  </si>
  <si>
    <t>Survey #10</t>
  </si>
  <si>
    <t>Survey #11</t>
  </si>
  <si>
    <t>Survey #12</t>
  </si>
  <si>
    <t>Survey #13</t>
  </si>
  <si>
    <t>Survey #14</t>
  </si>
  <si>
    <t>Survey #15</t>
  </si>
  <si>
    <t>Household Composition</t>
  </si>
  <si>
    <t>Household Size</t>
  </si>
  <si>
    <t>III. FOOD COST CALCULATIONS</t>
  </si>
  <si>
    <t>II. HOUSING COST CALCULATIONS</t>
  </si>
  <si>
    <t>I. HOUSEHOLD SETUP</t>
  </si>
  <si>
    <t>1A) Target energy consumption delta</t>
  </si>
  <si>
    <t>1B) Ranking food items by caloric content over price</t>
  </si>
  <si>
    <t>1C) Calculating quantities for selected model diet (based on food ranking / item selection )</t>
  </si>
  <si>
    <t>Cost increase</t>
  </si>
  <si>
    <t>Estimated price Per person (LC)</t>
  </si>
  <si>
    <t>Child</t>
  </si>
  <si>
    <t>Space per person required if minimum number of rooms is not met</t>
  </si>
  <si>
    <t>Decent Housing Standard Analysis</t>
  </si>
  <si>
    <t>Housing Cost Analysis</t>
  </si>
  <si>
    <t>Average Cost Share</t>
  </si>
  <si>
    <t>Average (of households within decent standard)</t>
  </si>
  <si>
    <t>BMI</t>
  </si>
  <si>
    <t>Height (in meters)</t>
  </si>
  <si>
    <t>Height squared</t>
  </si>
  <si>
    <t>Weight at assumed BMI</t>
  </si>
  <si>
    <t>Activity Level</t>
  </si>
  <si>
    <t>Delta (max 1 %)</t>
  </si>
  <si>
    <t>USD / household / month</t>
  </si>
  <si>
    <t>NON-FOOD NON-HOUSING COSTS</t>
  </si>
  <si>
    <t>Estimating non-food and non-housing costs</t>
  </si>
  <si>
    <t>Non-Food Non Housing cost</t>
  </si>
  <si>
    <t>Results for reference sized household</t>
  </si>
  <si>
    <t>household share</t>
  </si>
  <si>
    <t xml:space="preserve">Food costs </t>
  </si>
  <si>
    <t>1A) Input CPI weights</t>
  </si>
  <si>
    <t>CPI Weights</t>
  </si>
  <si>
    <t>1) HOUSING COSTS FOR REFERENCE HOUSEHOLD SIZE</t>
  </si>
  <si>
    <t>Housing cost for Reference Household Size</t>
  </si>
  <si>
    <t>Estimated monthly cost (incl. utilities)</t>
  </si>
  <si>
    <t>Total number of rooms (only living rooms and bedrooms)</t>
  </si>
  <si>
    <t>How many adults live in the family?</t>
  </si>
  <si>
    <t>Participants</t>
  </si>
  <si>
    <t>Additional criteria</t>
  </si>
  <si>
    <t>MANDATORY CRITERIA</t>
  </si>
  <si>
    <t>Mandatory criteria met?</t>
  </si>
  <si>
    <t>Additional criteria met? (3 out of 4)</t>
  </si>
  <si>
    <t>ADDITIONAL CRITERIA</t>
  </si>
  <si>
    <t>living space (sq mt)</t>
  </si>
  <si>
    <t>Cost of rent inc utilities (LCU / month)</t>
  </si>
  <si>
    <t>1B) HOUSING COSTS FOR REFERENCE HOUSEHOLD SIZE</t>
  </si>
  <si>
    <t>Mandatory criteria</t>
  </si>
  <si>
    <t>Living space</t>
  </si>
  <si>
    <r>
      <t xml:space="preserve">Durable floor structure: </t>
    </r>
    <r>
      <rPr>
        <sz val="12"/>
        <color rgb="FF000000"/>
        <rFont val="Calibri"/>
        <family val="2"/>
      </rPr>
      <t>permanent material (e.g. cement, Stone, tile, Wood)</t>
    </r>
  </si>
  <si>
    <r>
      <t xml:space="preserve">Durable roof structure: </t>
    </r>
    <r>
      <rPr>
        <sz val="12"/>
        <color rgb="FF000000"/>
        <rFont val="Calibri"/>
        <family val="2"/>
      </rPr>
      <t>permanent material (e.g. zinc or iron sheet, corrugated iron, cement, tile roof)</t>
    </r>
  </si>
  <si>
    <r>
      <t>Durable walls structure</t>
    </r>
    <r>
      <rPr>
        <sz val="12"/>
        <color rgb="FF000000"/>
        <rFont val="Calibri"/>
        <family val="2"/>
      </rPr>
      <t>: permanent material (e.g. brick, cement, Stone, well-joined walls)</t>
    </r>
  </si>
  <si>
    <r>
      <t xml:space="preserve">Toilet: </t>
    </r>
    <r>
      <rPr>
        <sz val="12"/>
        <color rgb="FF000000"/>
        <rFont val="Calibri"/>
        <family val="2"/>
      </rPr>
      <t>Safe toilet in or outside the house (at least pit latrine with slab and walls)</t>
    </r>
  </si>
  <si>
    <r>
      <t xml:space="preserve">Adequate cooking facility </t>
    </r>
    <r>
      <rPr>
        <sz val="12"/>
        <color rgb="FF000000"/>
        <rFont val="Calibri"/>
        <family val="2"/>
      </rPr>
      <t>- separate kitchen with adequate evacuation of fumes if cooking indoors (chimney or window in the kitchen)</t>
    </r>
  </si>
  <si>
    <r>
      <t xml:space="preserve">Availability of electricity </t>
    </r>
    <r>
      <rPr>
        <sz val="12"/>
        <color rgb="FF000000"/>
        <rFont val="Calibri"/>
        <family val="2"/>
      </rPr>
      <t>(for lighting or indoor climate control)</t>
    </r>
  </si>
  <si>
    <t xml:space="preserve">Access to water </t>
  </si>
  <si>
    <t>Minimum local decent standard</t>
  </si>
  <si>
    <t>Rent (LCU / month)</t>
  </si>
  <si>
    <t>Water (LCU / month)</t>
  </si>
  <si>
    <t>Healthcare (LCU / month)</t>
  </si>
  <si>
    <t>Education (LCU / month)</t>
  </si>
  <si>
    <t>Transport (LCU / month)</t>
  </si>
  <si>
    <t>LCU/person/month</t>
  </si>
  <si>
    <t>LCU/year</t>
  </si>
  <si>
    <t>LCU/adult male/day</t>
  </si>
  <si>
    <t>LCU/adult male/month</t>
  </si>
  <si>
    <t>LCU / household / month</t>
  </si>
  <si>
    <t>IV. NFNH costs</t>
  </si>
  <si>
    <t>Education costs per person</t>
  </si>
  <si>
    <t>Healthcare costs per person</t>
  </si>
  <si>
    <t>Transport costs per person</t>
  </si>
  <si>
    <t>Transportation</t>
  </si>
  <si>
    <t>1) ESTIMATE NON-FOOD, NON-HOUSING COSTS</t>
  </si>
  <si>
    <t>Expenditure category</t>
  </si>
  <si>
    <t>1a) Post-checks</t>
  </si>
  <si>
    <t>Food group</t>
  </si>
  <si>
    <r>
      <rPr>
        <b/>
        <sz val="11"/>
        <color rgb="FFC00000"/>
        <rFont val="Calibri"/>
        <family val="2"/>
        <scheme val="minor"/>
      </rPr>
      <t xml:space="preserve">Do not edit </t>
    </r>
    <r>
      <rPr>
        <sz val="11"/>
        <color theme="1"/>
        <rFont val="Calibri"/>
        <family val="2"/>
        <scheme val="minor"/>
      </rPr>
      <t>cell D9</t>
    </r>
  </si>
  <si>
    <t>Maximum number of people per room</t>
  </si>
  <si>
    <t>Does the house of the participant meet the following criteria:</t>
  </si>
  <si>
    <t>Estimated price (LCU per day)</t>
  </si>
  <si>
    <t>Descriptions of the tabs in the tool</t>
  </si>
  <si>
    <t>OUTPUT_Living Wage</t>
  </si>
  <si>
    <t>1. Setting the boundaries</t>
  </si>
  <si>
    <t>2. Housing costs</t>
  </si>
  <si>
    <t>CLS - Input data</t>
  </si>
  <si>
    <t>Food costs - Input data</t>
  </si>
  <si>
    <t>4. NFNH costs</t>
  </si>
  <si>
    <t>Background calculations</t>
  </si>
  <si>
    <t>Description</t>
  </si>
  <si>
    <t>Tab</t>
  </si>
  <si>
    <t>CELL LEGEND</t>
  </si>
  <si>
    <t>The user must insert a value in these cells, either gathered from primary or secondary data collection</t>
  </si>
  <si>
    <t>The user must insert a value in these cells by selecting one of the options in the dropdown menu</t>
  </si>
  <si>
    <r>
      <rPr>
        <b/>
        <sz val="11"/>
        <color rgb="FFC00000"/>
        <rFont val="Calibri"/>
        <family val="2"/>
        <scheme val="minor"/>
      </rPr>
      <t>Do not  directly edit</t>
    </r>
    <r>
      <rPr>
        <sz val="11"/>
        <color theme="1"/>
        <rFont val="Calibri"/>
        <family val="2"/>
        <scheme val="minor"/>
      </rPr>
      <t xml:space="preserve"> cell E7. You can change the zone in "1. Setting the boundaries" tab</t>
    </r>
  </si>
  <si>
    <t>Total Housing Costs (LCU/month)</t>
  </si>
  <si>
    <t>Cost per room (LCU/room/month)</t>
  </si>
  <si>
    <t>Total Rooms for Reference Household Size</t>
  </si>
  <si>
    <t>Adequate cooking facility</t>
  </si>
  <si>
    <t>Does the household meet the minimum decency criteria?</t>
  </si>
  <si>
    <t>How much do you pay for cooking fuel?</t>
  </si>
  <si>
    <t>How much do you pay for electricity (either grid or fuels or both)</t>
  </si>
  <si>
    <t>Section in Survey</t>
  </si>
  <si>
    <t>2. Household characteristics</t>
  </si>
  <si>
    <t>3. House structure</t>
  </si>
  <si>
    <t>4. Durable structure (materials)</t>
  </si>
  <si>
    <t>5. Safe sanitation</t>
  </si>
  <si>
    <t>6. Access to water</t>
  </si>
  <si>
    <t>7. Adequate coocking facility</t>
  </si>
  <si>
    <t>8. Energy sources</t>
  </si>
  <si>
    <t>9. Housing costs</t>
  </si>
  <si>
    <t>How much do you pay for rent?</t>
  </si>
  <si>
    <t>11. Non-food, Non-housing costs</t>
  </si>
  <si>
    <t>How much do you pay for healthcare?</t>
  </si>
  <si>
    <t>How much do you pay for education?</t>
  </si>
  <si>
    <t>How much do you pay for transporation?</t>
  </si>
  <si>
    <t>Question from Survey / note</t>
  </si>
  <si>
    <t>Total Housing costs (incl. utilities) (LCU/month)</t>
  </si>
  <si>
    <t>Does the participants meet the following criteria?</t>
  </si>
  <si>
    <t>Suggestions for minimum and maximum amount for Model diet</t>
  </si>
  <si>
    <t>At least 1 portion per week (12 grams per day) to 4 times per week (48 grams) - capable of increasing it</t>
  </si>
  <si>
    <t xml:space="preserve">At least 1 portion per week (12 grams per day) to 4 times per week (48 grams) - capable of increasing it </t>
  </si>
  <si>
    <t>Price (LCU/day)</t>
  </si>
  <si>
    <t>TOTAL PRICE (LCU/day)</t>
  </si>
  <si>
    <t>ENERGY CONSUMPTION TARGET</t>
  </si>
  <si>
    <t>1B) Nutritional value of food</t>
  </si>
  <si>
    <t>ENERGY CONSUMPTION &amp; NUTRITIONAL TARGETS</t>
  </si>
  <si>
    <t>1) ESTIMATE INCOME TAXES</t>
  </si>
  <si>
    <t>%</t>
  </si>
  <si>
    <t>1A) Retrieve data on income taxes</t>
  </si>
  <si>
    <t>In the table below, you need to insert information on from tax autorities related to (1) taxable income levels (2) rates of taxations (3) low and high bound (4) tax rate (5) Fixed amount
Use governamental sources to retrieve this information (e.g. governamental websites, governamental reports, etc)</t>
  </si>
  <si>
    <r>
      <t xml:space="preserve">This tab contains all the background calculations &amp; assumptions to calculate the LI benchmark. </t>
    </r>
    <r>
      <rPr>
        <b/>
        <sz val="22"/>
        <color rgb="FFC00000"/>
        <rFont val="Calibri"/>
        <family val="2"/>
        <scheme val="minor"/>
      </rPr>
      <t xml:space="preserve">Do not edit </t>
    </r>
    <r>
      <rPr>
        <sz val="11"/>
        <color theme="8" tint="-0.499984740745262"/>
        <rFont val="Calibri"/>
        <family val="2"/>
        <scheme val="minor"/>
      </rPr>
      <t>any of the cells in this tab</t>
    </r>
  </si>
  <si>
    <t>Housing cost components</t>
  </si>
  <si>
    <t>Living Income benchmark - Yearly results</t>
  </si>
  <si>
    <t>Living Income benchmark - Monthly results</t>
  </si>
  <si>
    <r>
      <t xml:space="preserve">If you are carrying out a study for a URBAN AREA, then collect data from the </t>
    </r>
    <r>
      <rPr>
        <b/>
        <sz val="11"/>
        <color theme="8" tint="-0.499984740745262"/>
        <rFont val="Calibri"/>
        <family val="2"/>
        <scheme val="minor"/>
      </rPr>
      <t>Urban indicator</t>
    </r>
    <r>
      <rPr>
        <sz val="11"/>
        <color theme="1"/>
        <rFont val="Calibri"/>
        <family val="2"/>
        <scheme val="minor"/>
      </rPr>
      <t>. Hence, you will need to collect only one data point for each variable</t>
    </r>
  </si>
  <si>
    <r>
      <t xml:space="preserve">If you are carrying out a study for a RURAL AREA, then collect data from both the </t>
    </r>
    <r>
      <rPr>
        <b/>
        <sz val="11"/>
        <color theme="8" tint="-0.499984740745262"/>
        <rFont val="Calibri"/>
        <family val="2"/>
        <scheme val="minor"/>
      </rPr>
      <t>Rural indicator</t>
    </r>
    <r>
      <rPr>
        <sz val="11"/>
        <color theme="1"/>
        <rFont val="Calibri"/>
        <family val="2"/>
        <scheme val="minor"/>
      </rPr>
      <t>. Hence, you will need to collect one data point for each variable</t>
    </r>
  </si>
  <si>
    <t>Make sure to spell the names correctly when you search these indicators in the ILOSTAT database, as provided in the Instructions boxes, and that you retrieve the indicators from the suggested section</t>
  </si>
  <si>
    <t>CALORY INTAKE and NUTRITIONAL CHECK</t>
  </si>
  <si>
    <r>
      <t xml:space="preserve">If you are carrying out a study for a PERI-URBAN AREA, then collect data only from both </t>
    </r>
    <r>
      <rPr>
        <b/>
        <sz val="11"/>
        <color theme="8" tint="-0.499984740745262"/>
        <rFont val="Calibri"/>
        <family val="2"/>
        <scheme val="minor"/>
      </rPr>
      <t>Urban and Rural indicators</t>
    </r>
    <r>
      <rPr>
        <sz val="11"/>
        <color theme="1"/>
        <rFont val="Calibri"/>
        <family val="2"/>
        <scheme val="minor"/>
      </rPr>
      <t xml:space="preserve">. Hence, you will need to collect two data points (both </t>
    </r>
    <r>
      <rPr>
        <b/>
        <sz val="11"/>
        <color theme="8" tint="-0.499984740745262"/>
        <rFont val="Calibri"/>
        <family val="2"/>
        <scheme val="minor"/>
      </rPr>
      <t>Urban and Rural</t>
    </r>
    <r>
      <rPr>
        <sz val="11"/>
        <color theme="1"/>
        <rFont val="Calibri"/>
        <family val="2"/>
        <scheme val="minor"/>
      </rPr>
      <t xml:space="preserve">) for each variable </t>
    </r>
  </si>
  <si>
    <t>ASSESS LOCAL DECENT HOUSING STANDARD</t>
  </si>
  <si>
    <r>
      <t>In this tab, the user needs to provide the minimum level of decency for the 8 criteria (</t>
    </r>
    <r>
      <rPr>
        <b/>
        <sz val="14"/>
        <color theme="8" tint="-0.499984740745262"/>
        <rFont val="Calibri"/>
        <family val="2"/>
        <scheme val="minor"/>
      </rPr>
      <t>cells D10-D19</t>
    </r>
    <r>
      <rPr>
        <sz val="14"/>
        <color theme="1"/>
        <rFont val="Calibri"/>
        <family val="2"/>
        <scheme val="minor"/>
      </rPr>
      <t xml:space="preserve">). These critieria will be used by the user to assess if a house meets the decency standard.
</t>
    </r>
    <r>
      <rPr>
        <b/>
        <sz val="14"/>
        <color theme="1"/>
        <rFont val="Calibri"/>
        <family val="2"/>
        <scheme val="minor"/>
      </rPr>
      <t>1) Mandatory criteria (cells D10-D13):</t>
    </r>
    <r>
      <rPr>
        <sz val="14"/>
        <color theme="1"/>
        <rFont val="Calibri"/>
        <family val="2"/>
        <scheme val="minor"/>
      </rPr>
      <t xml:space="preserve"> </t>
    </r>
    <r>
      <rPr>
        <b/>
        <sz val="14"/>
        <color rgb="FFC00000"/>
        <rFont val="Calibri"/>
        <family val="2"/>
        <scheme val="minor"/>
      </rPr>
      <t>do not edit</t>
    </r>
    <r>
      <rPr>
        <sz val="14"/>
        <color theme="1"/>
        <rFont val="Calibri"/>
        <family val="2"/>
        <scheme val="minor"/>
      </rPr>
      <t xml:space="preserve"> those criteria. Those criteria are based on minimum international standards and are assumed to be fixed 
</t>
    </r>
    <r>
      <rPr>
        <b/>
        <sz val="14"/>
        <color theme="1"/>
        <rFont val="Calibri"/>
        <family val="2"/>
        <scheme val="minor"/>
      </rPr>
      <t>2) Additional criteria (cells D16-D19)</t>
    </r>
    <r>
      <rPr>
        <sz val="14"/>
        <color theme="1"/>
        <rFont val="Calibri"/>
        <family val="2"/>
        <scheme val="minor"/>
      </rPr>
      <t xml:space="preserve">: Instert the criteria that are specific for the study.  In order to define an appropriate minimum local decent standard for the region of your study, you can refer to the guidance provided in the Local Decent Housing Standard Guideline document.
</t>
    </r>
  </si>
  <si>
    <t>In this tab, the user needs to insert the data collected from the Cost of Living Survey. The data will be used by the tool to estimate the cost for decent housing</t>
  </si>
  <si>
    <t>Source: Anker</t>
  </si>
  <si>
    <t>Average height (meters)</t>
  </si>
  <si>
    <r>
      <rPr>
        <b/>
        <sz val="11"/>
        <color rgb="FFC00000"/>
        <rFont val="Calibri"/>
        <family val="2"/>
        <scheme val="minor"/>
      </rPr>
      <t>Do not edit</t>
    </r>
    <r>
      <rPr>
        <sz val="11"/>
        <color theme="1"/>
        <rFont val="Calibri"/>
        <family val="2"/>
        <scheme val="minor"/>
      </rPr>
      <t xml:space="preserve"> cells E16-E17</t>
    </r>
  </si>
  <si>
    <t>For NFNH costs, you can decide if you want to use National or Region-specific information.</t>
  </si>
  <si>
    <t>For National information, you can collect the CPI Weights (data for cells D25-D37) from the IMF data bank to retrieve the national CPI weights</t>
  </si>
  <si>
    <t>To increase the accuracy of the benchmark, if available, you can use region-specific CPI weights. There is no global database that contains regional CPI weights. Regional CPI weights can be retrieved from local goverenments agenices, national household survey reports or other localized reports.</t>
  </si>
  <si>
    <r>
      <rPr>
        <b/>
        <sz val="11"/>
        <color theme="1"/>
        <rFont val="Calibri"/>
        <family val="2"/>
        <scheme val="minor"/>
      </rPr>
      <t>IMPORTANT</t>
    </r>
    <r>
      <rPr>
        <sz val="11"/>
        <color theme="1"/>
        <rFont val="Calibri"/>
        <family val="2"/>
        <scheme val="minor"/>
      </rPr>
      <t>: Make sure that cell D40 displays the type of CPI weights you want to use for the model (National or Regional)</t>
    </r>
  </si>
  <si>
    <r>
      <t xml:space="preserve">In the tab, the user must provide nutrition-related information that is needed to estimate the food for a low-cost nutritious diet.
</t>
    </r>
    <r>
      <rPr>
        <b/>
        <sz val="11"/>
        <color theme="1"/>
        <rFont val="Calibri"/>
        <family val="2"/>
        <scheme val="minor"/>
      </rPr>
      <t xml:space="preserve">Section 1A: </t>
    </r>
    <r>
      <rPr>
        <sz val="11"/>
        <color theme="1"/>
        <rFont val="Calibri"/>
        <family val="2"/>
        <scheme val="minor"/>
      </rPr>
      <t xml:space="preserve">In this section the user must provide basic information needed to calculate the Energy Consumption target for an adult male (daily calorie intake)
</t>
    </r>
    <r>
      <rPr>
        <b/>
        <sz val="11"/>
        <color theme="1"/>
        <rFont val="Calibri"/>
        <family val="2"/>
        <scheme val="minor"/>
      </rPr>
      <t xml:space="preserve">Section 1B: </t>
    </r>
    <r>
      <rPr>
        <sz val="11"/>
        <color theme="1"/>
        <rFont val="Calibri"/>
        <family val="2"/>
        <scheme val="minor"/>
      </rPr>
      <t xml:space="preserve">In this section you will need to provide nutritional information regarding the food items included in the study
</t>
    </r>
    <r>
      <rPr>
        <b/>
        <sz val="11"/>
        <color theme="1"/>
        <rFont val="Calibri"/>
        <family val="2"/>
        <scheme val="minor"/>
      </rPr>
      <t>Section 1C:</t>
    </r>
    <r>
      <rPr>
        <sz val="11"/>
        <color theme="1"/>
        <rFont val="Calibri"/>
        <family val="2"/>
        <scheme val="minor"/>
      </rPr>
      <t xml:space="preserve"> In this section you will insert the quantity of food to be consumed in the model diet for each of the food items (instructions and suggestions are provided in the section)
</t>
    </r>
    <r>
      <rPr>
        <b/>
        <sz val="11"/>
        <color theme="1"/>
        <rFont val="Calibri"/>
        <family val="2"/>
        <scheme val="minor"/>
      </rPr>
      <t>IMPORTANT:</t>
    </r>
    <r>
      <rPr>
        <sz val="11"/>
        <color theme="1"/>
        <rFont val="Calibri"/>
        <family val="2"/>
        <scheme val="minor"/>
      </rPr>
      <t xml:space="preserve"> . Do not add any new row in this tab. The food items in Column D will be automatically inserted based on the input provided in the previous tab</t>
    </r>
  </si>
  <si>
    <r>
      <rPr>
        <sz val="11"/>
        <color theme="8" tint="-0.499984740745262"/>
        <rFont val="Calibri"/>
        <family val="2"/>
        <scheme val="minor"/>
      </rPr>
      <t xml:space="preserve">This tab provides the results of the Food cost analysis. </t>
    </r>
    <r>
      <rPr>
        <b/>
        <sz val="11"/>
        <color rgb="FFC00000"/>
        <rFont val="Calibri"/>
        <family val="2"/>
        <scheme val="minor"/>
      </rPr>
      <t>Do not edit</t>
    </r>
    <r>
      <rPr>
        <sz val="11"/>
        <color theme="1"/>
        <rFont val="Calibri"/>
        <family val="2"/>
        <scheme val="minor"/>
      </rPr>
      <t xml:space="preserve"> cells and tables rin this tab
</t>
    </r>
  </si>
  <si>
    <r>
      <t xml:space="preserve">In the table below (rows 30-66), the user must add the nutritional value of the different food items. The model requires the user to add the protein content, fat content, carbohydrate content and edible portion of each food item. The protein/fat/carbohydrate contents are provided in number of grams per 100 gram of food item. If the source provides the protein/fat/carbohydrate content in %, then you need to translate it to grams (e.g. 7% of fat content is 7 grams)
</t>
    </r>
    <r>
      <rPr>
        <b/>
        <sz val="11"/>
        <color theme="1"/>
        <rFont val="Calibri"/>
        <family val="2"/>
        <scheme val="minor"/>
      </rPr>
      <t xml:space="preserve">To retrieve this information: </t>
    </r>
    <r>
      <rPr>
        <sz val="11"/>
        <color theme="1"/>
        <rFont val="Calibri"/>
        <family val="2"/>
        <scheme val="minor"/>
      </rPr>
      <t>Nutritional information can be found in the USDA data base (link provided below). For specific regional food items, go to the FAO info-food section and select the relevant region. Food content might vary per country. It is recommended that you collect nutritional values that are contry-specific. However, if that is not possible or if they are not available, it is ok to use nutritrional information gathered in previous studies for the same food items.</t>
    </r>
    <r>
      <rPr>
        <sz val="11"/>
        <color rgb="FFFF0000"/>
        <rFont val="Calibri"/>
        <family val="2"/>
        <scheme val="minor"/>
      </rPr>
      <t xml:space="preserve">
</t>
    </r>
    <r>
      <rPr>
        <b/>
        <sz val="11"/>
        <color theme="1"/>
        <rFont val="Calibri"/>
        <family val="2"/>
        <scheme val="minor"/>
      </rPr>
      <t>IMPORTANT:</t>
    </r>
    <r>
      <rPr>
        <sz val="11"/>
        <color theme="1"/>
        <rFont val="Calibri"/>
        <family val="2"/>
        <scheme val="minor"/>
      </rPr>
      <t xml:space="preserve"> Do not add any additional rows, nor columns or food items in the table below.  The food items displayed below are automatically picked from the "Food costs - Input data" tab.</t>
    </r>
  </si>
  <si>
    <t>Sources to retrieve nutritional information:</t>
  </si>
  <si>
    <r>
      <t>In this section, the user must provide values for the minimum and maximum amount of food for the model diet. Edit cells F96-F114 and Control if cells E83-E87 falls into ranges that are recommended by WHO (</t>
    </r>
    <r>
      <rPr>
        <b/>
        <sz val="11"/>
        <color rgb="FFC00000"/>
        <rFont val="Calibri"/>
        <family val="2"/>
        <scheme val="minor"/>
      </rPr>
      <t>do not edit</t>
    </r>
    <r>
      <rPr>
        <sz val="11"/>
        <color theme="1"/>
        <rFont val="Calibri"/>
        <family val="2"/>
        <scheme val="minor"/>
      </rPr>
      <t xml:space="preserve"> cells D83-D87). The calculated value (cell D83) will</t>
    </r>
    <r>
      <rPr>
        <b/>
        <sz val="11"/>
        <color rgb="FFC00000"/>
        <rFont val="Calibri"/>
        <family val="2"/>
        <scheme val="minor"/>
      </rPr>
      <t xml:space="preserve"> turn red</t>
    </r>
    <r>
      <rPr>
        <sz val="11"/>
        <color theme="1"/>
        <rFont val="Calibri"/>
        <family val="2"/>
        <scheme val="minor"/>
      </rPr>
      <t xml:space="preserve"> if the target value (cell E83) is not met (a 1% error margin is allowed).
If the target values are not met (rows 83-87), here there are some suggestions:
</t>
    </r>
    <r>
      <rPr>
        <b/>
        <sz val="11"/>
        <color theme="1"/>
        <rFont val="Calibri"/>
        <family val="2"/>
        <scheme val="minor"/>
      </rPr>
      <t>- If Carbohydrates are too low:</t>
    </r>
    <r>
      <rPr>
        <sz val="11"/>
        <color theme="1"/>
        <rFont val="Calibri"/>
        <family val="2"/>
        <scheme val="minor"/>
      </rPr>
      <t xml:space="preserve"> try to increase the minimum amount of cereals &amp; grains, prepared cereals, and roots &amp; tubers (starchy), or beans in cells F96-F114
-</t>
    </r>
    <r>
      <rPr>
        <b/>
        <sz val="11"/>
        <color theme="1"/>
        <rFont val="Calibri"/>
        <family val="2"/>
        <scheme val="minor"/>
      </rPr>
      <t xml:space="preserve"> If fats are too low</t>
    </r>
    <r>
      <rPr>
        <sz val="11"/>
        <color theme="1"/>
        <rFont val="Calibri"/>
        <family val="2"/>
        <scheme val="minor"/>
      </rPr>
      <t xml:space="preserve">: try to increase the minimum amount of meat, fish, avocado (if there), eggs, or dairy  in cells F96-F114
- </t>
    </r>
    <r>
      <rPr>
        <b/>
        <sz val="11"/>
        <color theme="1"/>
        <rFont val="Calibri"/>
        <family val="2"/>
        <scheme val="minor"/>
      </rPr>
      <t>If high-quality proteins are low:</t>
    </r>
    <r>
      <rPr>
        <sz val="11"/>
        <color theme="1"/>
        <rFont val="Calibri"/>
        <family val="2"/>
        <scheme val="minor"/>
      </rPr>
      <t xml:space="preserve"> increase minimum intake of pulses, legumes, beans, and animal-based proteins (meat or fish)  in cells F96-F114</t>
    </r>
  </si>
  <si>
    <r>
      <t>In this tab, you need to insert the list of food items included in the study and the data collected from the Food Price Survey. The data will be used by the tool to estimate the cost for decent housing.</t>
    </r>
    <r>
      <rPr>
        <b/>
        <sz val="11"/>
        <color theme="8" tint="-0.499984740745262"/>
        <rFont val="Calibri"/>
        <family val="2"/>
        <scheme val="minor"/>
      </rPr>
      <t xml:space="preserve"> Make sure that all the data you insert are provided in </t>
    </r>
    <r>
      <rPr>
        <b/>
        <sz val="20"/>
        <color theme="8" tint="-0.499984740745262"/>
        <rFont val="Calibri"/>
        <family val="2"/>
        <scheme val="minor"/>
      </rPr>
      <t>LCU/kg</t>
    </r>
    <r>
      <rPr>
        <sz val="11"/>
        <color theme="8" tint="-0.499984740745262"/>
        <rFont val="Calibri"/>
        <family val="2"/>
        <scheme val="minor"/>
      </rPr>
      <t xml:space="preserve">
</t>
    </r>
    <r>
      <rPr>
        <b/>
        <sz val="11"/>
        <color theme="8" tint="-0.499984740745262"/>
        <rFont val="Calibri"/>
        <family val="2"/>
        <scheme val="minor"/>
      </rPr>
      <t xml:space="preserve">Actions required:
</t>
    </r>
    <r>
      <rPr>
        <sz val="11"/>
        <color theme="8" tint="-0.499984740745262"/>
        <rFont val="Calibri"/>
        <family val="2"/>
        <scheme val="minor"/>
      </rPr>
      <t xml:space="preserve">1) Insert the food items included in the study in Column C.
2) Insert the food prices collected during the survey
</t>
    </r>
    <r>
      <rPr>
        <b/>
        <sz val="11"/>
        <color theme="8" tint="-0.499984740745262"/>
        <rFont val="Calibri"/>
        <family val="2"/>
        <scheme val="minor"/>
      </rPr>
      <t>IMPORTANT:</t>
    </r>
    <r>
      <rPr>
        <b/>
        <sz val="11"/>
        <color rgb="FFC00000"/>
        <rFont val="Calibri"/>
        <family val="2"/>
        <scheme val="minor"/>
      </rPr>
      <t xml:space="preserve"> Do not edit </t>
    </r>
    <r>
      <rPr>
        <sz val="11"/>
        <color theme="8" tint="-0.499984740745262"/>
        <rFont val="Calibri"/>
        <family val="2"/>
        <scheme val="minor"/>
      </rPr>
      <t>column B or add any additional row</t>
    </r>
  </si>
  <si>
    <r>
      <t xml:space="preserve">The information in Row 16to Row 33 </t>
    </r>
    <r>
      <rPr>
        <b/>
        <sz val="11"/>
        <color theme="8" tint="-0.499984740745262"/>
        <rFont val="Calibri"/>
        <family val="2"/>
        <scheme val="minor"/>
      </rPr>
      <t xml:space="preserve">must be retrieved </t>
    </r>
    <r>
      <rPr>
        <sz val="11"/>
        <color theme="8" tint="-0.499984740745262"/>
        <rFont val="Calibri"/>
        <family val="2"/>
        <scheme val="minor"/>
      </rPr>
      <t>from the results of the</t>
    </r>
    <r>
      <rPr>
        <b/>
        <sz val="11"/>
        <color theme="8" tint="-0.499984740745262"/>
        <rFont val="Calibri"/>
        <family val="2"/>
        <scheme val="minor"/>
      </rPr>
      <t xml:space="preserve"> Cost of Living Survey. </t>
    </r>
    <r>
      <rPr>
        <sz val="11"/>
        <color theme="8" tint="-0.499984740745262"/>
        <rFont val="Calibri"/>
        <family val="2"/>
        <scheme val="minor"/>
      </rPr>
      <t xml:space="preserve">
- </t>
    </r>
    <r>
      <rPr>
        <b/>
        <sz val="11"/>
        <color theme="8" tint="-0.499984740745262"/>
        <rFont val="Calibri"/>
        <family val="2"/>
        <scheme val="minor"/>
      </rPr>
      <t xml:space="preserve">Column B </t>
    </r>
    <r>
      <rPr>
        <sz val="11"/>
        <color theme="8" tint="-0.499984740745262"/>
        <rFont val="Calibri"/>
        <family val="2"/>
        <scheme val="minor"/>
      </rPr>
      <t>tells you in which section of the Cost of Living Survey you can find that information. 
-</t>
    </r>
    <r>
      <rPr>
        <b/>
        <sz val="11"/>
        <color theme="8" tint="-0.499984740745262"/>
        <rFont val="Calibri"/>
        <family val="2"/>
        <scheme val="minor"/>
      </rPr>
      <t xml:space="preserve"> Column C </t>
    </r>
    <r>
      <rPr>
        <sz val="11"/>
        <color theme="8" tint="-0.499984740745262"/>
        <rFont val="Calibri"/>
        <family val="2"/>
        <scheme val="minor"/>
      </rPr>
      <t xml:space="preserve">provides an additional description of the question related to that data point
- </t>
    </r>
    <r>
      <rPr>
        <b/>
        <sz val="11"/>
        <color theme="8" tint="-0.499984740745262"/>
        <rFont val="Calibri"/>
        <family val="2"/>
        <scheme val="minor"/>
      </rPr>
      <t xml:space="preserve">Column D </t>
    </r>
    <r>
      <rPr>
        <sz val="11"/>
        <color theme="8" tint="-0.499984740745262"/>
        <rFont val="Calibri"/>
        <family val="2"/>
        <scheme val="minor"/>
      </rPr>
      <t xml:space="preserve">provides the short definition of the datapoint to be reported in this tab
</t>
    </r>
    <r>
      <rPr>
        <b/>
        <sz val="11"/>
        <color theme="8" tint="-0.499984740745262"/>
        <rFont val="Calibri"/>
        <family val="2"/>
        <scheme val="minor"/>
      </rPr>
      <t xml:space="preserve">IMPORTANT: </t>
    </r>
    <r>
      <rPr>
        <sz val="11"/>
        <color theme="8" tint="-0.499984740745262"/>
        <rFont val="Calibri"/>
        <family val="2"/>
        <scheme val="minor"/>
      </rPr>
      <t xml:space="preserve">All cost-related data (row 26 to row 33) must be provided </t>
    </r>
    <r>
      <rPr>
        <b/>
        <sz val="11"/>
        <color theme="8" tint="-0.499984740745262"/>
        <rFont val="Calibri"/>
        <family val="2"/>
        <scheme val="minor"/>
      </rPr>
      <t>in LCU (local currency) per month.</t>
    </r>
    <r>
      <rPr>
        <sz val="11"/>
        <color theme="8" tint="-0.499984740745262"/>
        <rFont val="Calibri"/>
        <family val="2"/>
        <scheme val="minor"/>
      </rPr>
      <t xml:space="preserve">
</t>
    </r>
  </si>
  <si>
    <r>
      <rPr>
        <b/>
        <sz val="11"/>
        <color rgb="FFC00000"/>
        <rFont val="Calibri"/>
        <family val="2"/>
        <scheme val="minor"/>
      </rPr>
      <t>Do not edit</t>
    </r>
    <r>
      <rPr>
        <sz val="11"/>
        <color theme="1"/>
        <rFont val="Calibri"/>
        <family val="2"/>
        <scheme val="minor"/>
      </rPr>
      <t xml:space="preserve"> any cells and tables shown below, or add any new rows nor columns</t>
    </r>
  </si>
  <si>
    <t>Model</t>
  </si>
  <si>
    <t>Personalized</t>
  </si>
  <si>
    <t>FINAL CALC</t>
  </si>
  <si>
    <t>Max Allowed</t>
  </si>
  <si>
    <t>ITERATION 1 (using minimum values)</t>
  </si>
  <si>
    <t>0. MODEL SETTINGS</t>
  </si>
  <si>
    <t>LIST - Referense Size</t>
  </si>
  <si>
    <t>Reference Household</t>
  </si>
  <si>
    <t>Household size - Selected</t>
  </si>
  <si>
    <t>Selected</t>
  </si>
  <si>
    <t>Personalize household composition</t>
  </si>
  <si>
    <t>Number of adults (male)</t>
  </si>
  <si>
    <t>Number of adults (female)</t>
  </si>
  <si>
    <r>
      <t xml:space="preserve">For an alternative calculation enter a personalized household composition in cells </t>
    </r>
    <r>
      <rPr>
        <b/>
        <sz val="11"/>
        <color theme="1"/>
        <rFont val="Calibri"/>
        <family val="2"/>
        <scheme val="minor"/>
      </rPr>
      <t>D25 - D28</t>
    </r>
    <r>
      <rPr>
        <sz val="11"/>
        <color theme="1"/>
        <rFont val="Calibri"/>
        <family val="2"/>
        <scheme val="minor"/>
      </rPr>
      <t xml:space="preserve">
Select the Household Composition to use in the OUTPUT dashboard and the model will autmoatically adjust all calculations.</t>
    </r>
  </si>
  <si>
    <t>Household composition - selected</t>
  </si>
  <si>
    <t>Adults (male)</t>
  </si>
  <si>
    <t>Adults (female)</t>
  </si>
  <si>
    <r>
      <t xml:space="preserve">IF MORE THAN 25 PRICES ARE COLLECTED FOR A FOOD ITEM, </t>
    </r>
    <r>
      <rPr>
        <b/>
        <sz val="11"/>
        <color theme="1"/>
        <rFont val="Calibri"/>
        <family val="2"/>
        <scheme val="minor"/>
      </rPr>
      <t>INSERT A NEW COLUMN BEFORE COLUMN AB</t>
    </r>
    <r>
      <rPr>
        <sz val="11"/>
        <color theme="1"/>
        <rFont val="Calibri"/>
        <family val="2"/>
        <scheme val="minor"/>
      </rPr>
      <t xml:space="preserve"> AND </t>
    </r>
    <r>
      <rPr>
        <i/>
        <u/>
        <sz val="11"/>
        <color theme="1"/>
        <rFont val="Calibri"/>
        <family val="2"/>
        <scheme val="minor"/>
      </rPr>
      <t>MAKE SURE THAT THE FORMULA FOR THE LOWEST PRICE IS STILL IN RANGE</t>
    </r>
  </si>
  <si>
    <t>Comment</t>
  </si>
  <si>
    <t>Overview of Housing cost results</t>
  </si>
  <si>
    <t>3. Food costs</t>
  </si>
  <si>
    <t>Decent Housing</t>
  </si>
  <si>
    <t>Overview of Food Costs results based on a model diet and a referenced sized household</t>
  </si>
  <si>
    <t>Nutritional input</t>
  </si>
  <si>
    <t>Non-Food Non Housing cost estimation based on the expenditure weights of a consumer price index (CPI)</t>
  </si>
  <si>
    <t>Calculation of the income tax. Adapt and adjust tax brackets and tax rates.</t>
  </si>
  <si>
    <t xml:space="preserve">This tab presents the detailed logics and calculations applied throughout the model. </t>
  </si>
  <si>
    <t>Do you consider the participant eligible for the study?</t>
  </si>
  <si>
    <t>Exclude from the study individuals living in their place of work or temporary accomodation (e.g. hotel room)</t>
  </si>
  <si>
    <t>Include in study</t>
  </si>
  <si>
    <t>Model Maintenance</t>
  </si>
  <si>
    <t xml:space="preserve">If needed, it is possible to remove the cell protection by clicking on "unprotect sheet" in the Review function in the tool bar above. The password is provided below. </t>
  </si>
  <si>
    <t>Use the drop down menu in cell E15 to select betwee nthe calculated reference household size or the personalized household sice</t>
  </si>
  <si>
    <r>
      <t xml:space="preserve">The personalized household size can be edited in the </t>
    </r>
    <r>
      <rPr>
        <b/>
        <sz val="11"/>
        <color theme="1"/>
        <rFont val="Calibri"/>
        <family val="2"/>
        <scheme val="minor"/>
      </rPr>
      <t>1. Setting the boundaries</t>
    </r>
    <r>
      <rPr>
        <sz val="11"/>
        <color theme="1"/>
        <rFont val="Calibri"/>
        <family val="2"/>
        <scheme val="minor"/>
      </rPr>
      <t xml:space="preserve"> tab in cells D25 - D28</t>
    </r>
  </si>
  <si>
    <t>Living Wage Benchmark</t>
  </si>
  <si>
    <r>
      <rPr>
        <b/>
        <sz val="11"/>
        <color rgb="FFC00000"/>
        <rFont val="Calibri"/>
        <family val="2"/>
        <scheme val="minor"/>
      </rPr>
      <t xml:space="preserve">Do not edit </t>
    </r>
    <r>
      <rPr>
        <sz val="11"/>
        <color theme="1"/>
        <rFont val="Calibri"/>
        <family val="2"/>
        <scheme val="minor"/>
      </rPr>
      <t xml:space="preserve">cells D16-D18. The number of adults for the Reference Household Size is assumed fixed (2 adults). 
If you want to calculate the Living Income Benchmark for another Reference Household Size enter a personalized household composition, the model will automatecally apply the calculations in the background and the results will be available in the OUTPUT dashboard when selecting the </t>
    </r>
    <r>
      <rPr>
        <i/>
        <sz val="11"/>
        <color theme="1"/>
        <rFont val="Calibri"/>
        <family val="2"/>
        <scheme val="minor"/>
      </rPr>
      <t xml:space="preserve">personalized houshold size </t>
    </r>
    <r>
      <rPr>
        <sz val="11"/>
        <color theme="1"/>
        <rFont val="Calibri"/>
        <family val="2"/>
        <scheme val="minor"/>
      </rPr>
      <t>option</t>
    </r>
  </si>
  <si>
    <r>
      <t xml:space="preserve">Go to the link provided in cell E34. Retrieve this data by choosing --&gt; Category: </t>
    </r>
    <r>
      <rPr>
        <b/>
        <sz val="11"/>
        <color theme="8" tint="-0.499984740745262"/>
        <rFont val="Calibri"/>
        <family val="2"/>
        <scheme val="minor"/>
      </rPr>
      <t>Population</t>
    </r>
    <r>
      <rPr>
        <sz val="11"/>
        <color theme="1"/>
        <rFont val="Calibri"/>
        <family val="2"/>
        <scheme val="minor"/>
      </rPr>
      <t xml:space="preserve">; Indicator: </t>
    </r>
    <r>
      <rPr>
        <b/>
        <sz val="11"/>
        <color theme="8" tint="-0.499984740745262"/>
        <rFont val="Calibri"/>
        <family val="2"/>
        <scheme val="minor"/>
      </rPr>
      <t>Average Household size</t>
    </r>
  </si>
  <si>
    <r>
      <t xml:space="preserve">Go to the link provided in cell E34. Retrieve this data by choosing --&gt; Category: </t>
    </r>
    <r>
      <rPr>
        <b/>
        <sz val="11"/>
        <color theme="8" tint="-0.499984740745262"/>
        <rFont val="Calibri"/>
        <family val="2"/>
        <scheme val="minor"/>
      </rPr>
      <t>Fertility</t>
    </r>
    <r>
      <rPr>
        <sz val="11"/>
        <color theme="1"/>
        <rFont val="Calibri"/>
        <family val="2"/>
        <scheme val="minor"/>
      </rPr>
      <t xml:space="preserve">; Indicator: </t>
    </r>
    <r>
      <rPr>
        <b/>
        <sz val="11"/>
        <color theme="8" tint="-0.499984740745262"/>
        <rFont val="Calibri"/>
        <family val="2"/>
        <scheme val="minor"/>
      </rPr>
      <t>Total Fertility Rate</t>
    </r>
  </si>
  <si>
    <r>
      <t xml:space="preserve">Go to the link provided in cell E34. Retrieve this data by choosing --&gt; Category: </t>
    </r>
    <r>
      <rPr>
        <b/>
        <sz val="11"/>
        <color theme="8" tint="-0.499984740745262"/>
        <rFont val="Calibri"/>
        <family val="2"/>
        <scheme val="minor"/>
      </rPr>
      <t>Child mortality</t>
    </r>
    <r>
      <rPr>
        <sz val="11"/>
        <color theme="1"/>
        <rFont val="Calibri"/>
        <family val="2"/>
        <scheme val="minor"/>
      </rPr>
      <t xml:space="preserve">; Indicator: </t>
    </r>
    <r>
      <rPr>
        <b/>
        <sz val="11"/>
        <color theme="8" tint="-0.499984740745262"/>
        <rFont val="Calibri"/>
        <family val="2"/>
        <scheme val="minor"/>
      </rPr>
      <t>Under five mortality rate</t>
    </r>
  </si>
  <si>
    <r>
      <t xml:space="preserve">Go to the link provided in cell E53. Retrieve this data by --&gt; 
(1) In the search bar </t>
    </r>
    <r>
      <rPr>
        <b/>
        <sz val="11"/>
        <color theme="8" tint="-0.499984740745262"/>
        <rFont val="Calibri"/>
        <family val="2"/>
        <scheme val="minor"/>
      </rPr>
      <t xml:space="preserve">"Dataset" </t>
    </r>
    <r>
      <rPr>
        <sz val="11"/>
        <color theme="8" tint="-0.499984740745262"/>
        <rFont val="Calibri"/>
        <family val="2"/>
        <scheme val="minor"/>
      </rPr>
      <t>type</t>
    </r>
    <r>
      <rPr>
        <b/>
        <sz val="11"/>
        <color theme="8" tint="-0.499984740745262"/>
        <rFont val="Calibri"/>
        <family val="2"/>
        <scheme val="minor"/>
      </rPr>
      <t xml:space="preserve"> "Labour force participation"</t>
    </r>
    <r>
      <rPr>
        <sz val="11"/>
        <color theme="8" tint="-0.499984740745262"/>
        <rFont val="Calibri"/>
        <family val="2"/>
        <scheme val="minor"/>
      </rPr>
      <t>;
(2) You fill see that there are several datapoints for that name.</t>
    </r>
    <r>
      <rPr>
        <b/>
        <sz val="11"/>
        <color theme="8" tint="-0.499984740745262"/>
        <rFont val="Calibri"/>
        <family val="2"/>
        <scheme val="minor"/>
      </rPr>
      <t xml:space="preserve"> Do not pick the top one,</t>
    </r>
    <r>
      <rPr>
        <sz val="11"/>
        <color theme="8" tint="-0.499984740745262"/>
        <rFont val="Calibri"/>
        <family val="2"/>
        <scheme val="minor"/>
      </rPr>
      <t xml:space="preserve"> but </t>
    </r>
    <r>
      <rPr>
        <b/>
        <sz val="11"/>
        <color theme="8" tint="-0.499984740745262"/>
        <rFont val="Calibri"/>
        <family val="2"/>
        <scheme val="minor"/>
      </rPr>
      <t>scroll down</t>
    </r>
    <r>
      <rPr>
        <sz val="11"/>
        <color theme="8" tint="-0.499984740745262"/>
        <rFont val="Calibri"/>
        <family val="2"/>
        <scheme val="minor"/>
      </rPr>
      <t xml:space="preserve"> to select the one in the right section. The right indicator is named "</t>
    </r>
    <r>
      <rPr>
        <b/>
        <sz val="11"/>
        <color theme="8" tint="-0.499984740745262"/>
        <rFont val="Calibri"/>
        <family val="2"/>
        <scheme val="minor"/>
      </rPr>
      <t>Labour force participation by sex, age, and rural / urban areas (%) - Annual</t>
    </r>
    <r>
      <rPr>
        <sz val="11"/>
        <color theme="8" tint="-0.499984740745262"/>
        <rFont val="Calibri"/>
        <family val="2"/>
        <scheme val="minor"/>
      </rPr>
      <t>" under the "</t>
    </r>
    <r>
      <rPr>
        <b/>
        <sz val="11"/>
        <color theme="8" tint="-0.499984740745262"/>
        <rFont val="Calibri"/>
        <family val="2"/>
        <scheme val="minor"/>
      </rPr>
      <t>Rural and urban labour markets (RURBAN)</t>
    </r>
    <r>
      <rPr>
        <sz val="11"/>
        <color theme="8" tint="-0.499984740745262"/>
        <rFont val="Calibri"/>
        <family val="2"/>
        <scheme val="minor"/>
      </rPr>
      <t xml:space="preserve">" section; 
(3) in the </t>
    </r>
    <r>
      <rPr>
        <b/>
        <sz val="11"/>
        <color theme="8" tint="-0.499984740745262"/>
        <rFont val="Calibri"/>
        <family val="2"/>
        <scheme val="minor"/>
      </rPr>
      <t>Filter section</t>
    </r>
    <r>
      <rPr>
        <sz val="11"/>
        <color theme="8" tint="-0.499984740745262"/>
        <rFont val="Calibri"/>
        <family val="2"/>
        <scheme val="minor"/>
      </rPr>
      <t xml:space="preserve"> on the left side of the website, select the country of focus,  select "</t>
    </r>
    <r>
      <rPr>
        <b/>
        <sz val="11"/>
        <color theme="8" tint="-0.499984740745262"/>
        <rFont val="Calibri"/>
        <family val="2"/>
        <scheme val="minor"/>
      </rPr>
      <t>Total</t>
    </r>
    <r>
      <rPr>
        <sz val="11"/>
        <color theme="8" tint="-0.499984740745262"/>
        <rFont val="Calibri"/>
        <family val="2"/>
        <scheme val="minor"/>
      </rPr>
      <t>" in the Sex filter, select "</t>
    </r>
    <r>
      <rPr>
        <b/>
        <sz val="11"/>
        <color theme="8" tint="-0.499984740745262"/>
        <rFont val="Calibri"/>
        <family val="2"/>
        <scheme val="minor"/>
      </rPr>
      <t>Aggregated bands: Total</t>
    </r>
    <r>
      <rPr>
        <sz val="11"/>
        <color theme="8" tint="-0.499984740745262"/>
        <rFont val="Calibri"/>
        <family val="2"/>
        <scheme val="minor"/>
      </rPr>
      <t xml:space="preserve">" in the Age filter, </t>
    </r>
    <r>
      <rPr>
        <sz val="11"/>
        <color theme="1"/>
        <rFont val="Calibri"/>
        <family val="2"/>
        <scheme val="minor"/>
      </rPr>
      <t>and select "</t>
    </r>
    <r>
      <rPr>
        <b/>
        <sz val="11"/>
        <color theme="8" tint="-0.499984740745262"/>
        <rFont val="Calibri"/>
        <family val="2"/>
        <scheme val="minor"/>
      </rPr>
      <t>Area type: Rural</t>
    </r>
    <r>
      <rPr>
        <b/>
        <sz val="11"/>
        <color theme="1"/>
        <rFont val="Calibri"/>
        <family val="2"/>
        <scheme val="minor"/>
      </rPr>
      <t>"</t>
    </r>
    <r>
      <rPr>
        <sz val="11"/>
        <color theme="1"/>
        <rFont val="Calibri"/>
        <family val="2"/>
        <scheme val="minor"/>
      </rPr>
      <t xml:space="preserve"> and "</t>
    </r>
    <r>
      <rPr>
        <b/>
        <sz val="11"/>
        <color theme="8" tint="-0.499984740745262"/>
        <rFont val="Calibri"/>
        <family val="2"/>
        <scheme val="minor"/>
      </rPr>
      <t>Area type: Urban</t>
    </r>
    <r>
      <rPr>
        <sz val="11"/>
        <color theme="1"/>
        <rFont val="Calibri"/>
        <family val="2"/>
        <scheme val="minor"/>
      </rPr>
      <t>" in the Area type filter, and check the box "</t>
    </r>
    <r>
      <rPr>
        <b/>
        <sz val="11"/>
        <color theme="8" tint="-0.499984740745262"/>
        <rFont val="Calibri"/>
        <family val="2"/>
        <scheme val="minor"/>
      </rPr>
      <t>Latest period</t>
    </r>
    <r>
      <rPr>
        <sz val="11"/>
        <color theme="1"/>
        <rFont val="Calibri"/>
        <family val="2"/>
        <scheme val="minor"/>
      </rPr>
      <t xml:space="preserve">" to show latest avaialable data
</t>
    </r>
    <r>
      <rPr>
        <b/>
        <sz val="11"/>
        <color theme="8" tint="-0.499984740745262"/>
        <rFont val="Calibri"/>
        <family val="2"/>
        <scheme val="minor"/>
      </rPr>
      <t xml:space="preserve">IMPORTANT: </t>
    </r>
    <r>
      <rPr>
        <sz val="11"/>
        <color theme="1"/>
        <rFont val="Calibri"/>
        <family val="2"/>
        <scheme val="minor"/>
      </rPr>
      <t xml:space="preserve">In case the country of study is not listed in the </t>
    </r>
    <r>
      <rPr>
        <b/>
        <sz val="11"/>
        <color theme="8" tint="-0.499984740745262"/>
        <rFont val="Calibri"/>
        <family val="2"/>
        <scheme val="minor"/>
      </rPr>
      <t>"Labour force participation by sex, age, and rural / urban areas (%) - Annual"</t>
    </r>
    <r>
      <rPr>
        <sz val="11"/>
        <color theme="1"/>
        <rFont val="Calibri"/>
        <family val="2"/>
        <scheme val="minor"/>
      </rPr>
      <t xml:space="preserve"> under the </t>
    </r>
    <r>
      <rPr>
        <b/>
        <sz val="11"/>
        <color theme="8" tint="-0.499984740745262"/>
        <rFont val="Calibri"/>
        <family val="2"/>
        <scheme val="minor"/>
      </rPr>
      <t>"Rural and urban labour markets (RURBAN)"</t>
    </r>
    <r>
      <rPr>
        <sz val="11"/>
        <color theme="1"/>
        <rFont val="Calibri"/>
        <family val="2"/>
        <scheme val="minor"/>
      </rPr>
      <t xml:space="preserve"> section, then use the </t>
    </r>
    <r>
      <rPr>
        <b/>
        <sz val="11"/>
        <color theme="8" tint="-0.499984740745262"/>
        <rFont val="Calibri"/>
        <family val="2"/>
        <scheme val="minor"/>
      </rPr>
      <t>"Labour force participation by sex, age, and rural / urban areas -- ILO modelled estimates, Nov 2020 (%) - Annual</t>
    </r>
    <r>
      <rPr>
        <sz val="11"/>
        <color theme="1"/>
        <rFont val="Calibri"/>
        <family val="2"/>
        <scheme val="minor"/>
      </rPr>
      <t xml:space="preserve">" under the </t>
    </r>
    <r>
      <rPr>
        <b/>
        <sz val="11"/>
        <color theme="8" tint="-0.499984740745262"/>
        <rFont val="Calibri"/>
        <family val="2"/>
        <scheme val="minor"/>
      </rPr>
      <t>"ILO modelled estimates and projections (ILOEST)</t>
    </r>
    <r>
      <rPr>
        <sz val="11"/>
        <color theme="1"/>
        <rFont val="Calibri"/>
        <family val="2"/>
        <scheme val="minor"/>
      </rPr>
      <t>" section. In this case, choose "</t>
    </r>
    <r>
      <rPr>
        <b/>
        <sz val="11"/>
        <color theme="8" tint="-0.499984740745262"/>
        <rFont val="Calibri"/>
        <family val="2"/>
        <scheme val="minor"/>
      </rPr>
      <t>Youth, adults: 25+</t>
    </r>
    <r>
      <rPr>
        <sz val="11"/>
        <color theme="1"/>
        <rFont val="Calibri"/>
        <family val="2"/>
        <scheme val="minor"/>
      </rPr>
      <t>" in the Age filter</t>
    </r>
  </si>
  <si>
    <r>
      <t xml:space="preserve">Go to the link provided in cell E53. Retrieve this data by --&gt; 
(1) In the search bar </t>
    </r>
    <r>
      <rPr>
        <b/>
        <sz val="11"/>
        <color theme="8" tint="-0.499984740745262"/>
        <rFont val="Calibri"/>
        <family val="2"/>
        <scheme val="minor"/>
      </rPr>
      <t xml:space="preserve">"Dataset" </t>
    </r>
    <r>
      <rPr>
        <sz val="11"/>
        <color theme="8" tint="-0.499984740745262"/>
        <rFont val="Calibri"/>
        <family val="2"/>
        <scheme val="minor"/>
      </rPr>
      <t>type</t>
    </r>
    <r>
      <rPr>
        <b/>
        <sz val="11"/>
        <color theme="8" tint="-0.499984740745262"/>
        <rFont val="Calibri"/>
        <family val="2"/>
        <scheme val="minor"/>
      </rPr>
      <t xml:space="preserve"> "Unemployment rate"</t>
    </r>
    <r>
      <rPr>
        <sz val="11"/>
        <color theme="8" tint="-0.499984740745262"/>
        <rFont val="Calibri"/>
        <family val="2"/>
        <scheme val="minor"/>
      </rPr>
      <t>;
(2)  You fill see that there are several datapoints for that name. Do not pick the top one, but scroll down to select the one in the right section. The right indicator is named "</t>
    </r>
    <r>
      <rPr>
        <b/>
        <sz val="11"/>
        <color theme="8" tint="-0.499984740745262"/>
        <rFont val="Calibri"/>
        <family val="2"/>
        <scheme val="minor"/>
      </rPr>
      <t>Unemployment rate by sex, age, and rural / urban areas (%) - Annual</t>
    </r>
    <r>
      <rPr>
        <sz val="11"/>
        <color theme="8" tint="-0.499984740745262"/>
        <rFont val="Calibri"/>
        <family val="2"/>
        <scheme val="minor"/>
      </rPr>
      <t>" under the "</t>
    </r>
    <r>
      <rPr>
        <b/>
        <sz val="11"/>
        <color theme="8" tint="-0.499984740745262"/>
        <rFont val="Calibri"/>
        <family val="2"/>
        <scheme val="minor"/>
      </rPr>
      <t>Rural and urban labour markets (RURBAN)</t>
    </r>
    <r>
      <rPr>
        <sz val="11"/>
        <color theme="8" tint="-0.499984740745262"/>
        <rFont val="Calibri"/>
        <family val="2"/>
        <scheme val="minor"/>
      </rPr>
      <t xml:space="preserve">" section; 
(3) in the </t>
    </r>
    <r>
      <rPr>
        <b/>
        <sz val="11"/>
        <color theme="8" tint="-0.499984740745262"/>
        <rFont val="Calibri"/>
        <family val="2"/>
        <scheme val="minor"/>
      </rPr>
      <t xml:space="preserve">Filter section </t>
    </r>
    <r>
      <rPr>
        <sz val="11"/>
        <color theme="8" tint="-0.499984740745262"/>
        <rFont val="Calibri"/>
        <family val="2"/>
        <scheme val="minor"/>
      </rPr>
      <t>on the left side of the website, select the country of focus,  select "</t>
    </r>
    <r>
      <rPr>
        <b/>
        <sz val="11"/>
        <color theme="8" tint="-0.499984740745262"/>
        <rFont val="Calibri"/>
        <family val="2"/>
        <scheme val="minor"/>
      </rPr>
      <t>Total</t>
    </r>
    <r>
      <rPr>
        <sz val="11"/>
        <color theme="8" tint="-0.499984740745262"/>
        <rFont val="Calibri"/>
        <family val="2"/>
        <scheme val="minor"/>
      </rPr>
      <t>" in the Sex filter, select "</t>
    </r>
    <r>
      <rPr>
        <b/>
        <sz val="11"/>
        <color theme="8" tint="-0.499984740745262"/>
        <rFont val="Calibri"/>
        <family val="2"/>
        <scheme val="minor"/>
      </rPr>
      <t>Aggregated bands: Total</t>
    </r>
    <r>
      <rPr>
        <sz val="11"/>
        <color theme="8" tint="-0.499984740745262"/>
        <rFont val="Calibri"/>
        <family val="2"/>
        <scheme val="minor"/>
      </rPr>
      <t xml:space="preserve">" in the Age filter, </t>
    </r>
    <r>
      <rPr>
        <sz val="11"/>
        <color theme="1"/>
        <rFont val="Calibri"/>
        <family val="2"/>
        <scheme val="minor"/>
      </rPr>
      <t>and select "</t>
    </r>
    <r>
      <rPr>
        <b/>
        <sz val="11"/>
        <color theme="8" tint="-0.499984740745262"/>
        <rFont val="Calibri"/>
        <family val="2"/>
        <scheme val="minor"/>
      </rPr>
      <t>Area type: Rural</t>
    </r>
    <r>
      <rPr>
        <b/>
        <sz val="11"/>
        <color theme="1"/>
        <rFont val="Calibri"/>
        <family val="2"/>
        <scheme val="minor"/>
      </rPr>
      <t>"</t>
    </r>
    <r>
      <rPr>
        <sz val="11"/>
        <color theme="1"/>
        <rFont val="Calibri"/>
        <family val="2"/>
        <scheme val="minor"/>
      </rPr>
      <t xml:space="preserve"> and "</t>
    </r>
    <r>
      <rPr>
        <b/>
        <sz val="11"/>
        <color theme="8" tint="-0.499984740745262"/>
        <rFont val="Calibri"/>
        <family val="2"/>
        <scheme val="minor"/>
      </rPr>
      <t>Area type: Urban</t>
    </r>
    <r>
      <rPr>
        <sz val="11"/>
        <color theme="1"/>
        <rFont val="Calibri"/>
        <family val="2"/>
        <scheme val="minor"/>
      </rPr>
      <t xml:space="preserve">" in the Area type filter, and check the box "Latest period" to show latest avaialable data
</t>
    </r>
    <r>
      <rPr>
        <b/>
        <sz val="11"/>
        <color theme="8" tint="-0.499984740745262"/>
        <rFont val="Calibri"/>
        <family val="2"/>
        <scheme val="minor"/>
      </rPr>
      <t>IMPORTANT</t>
    </r>
    <r>
      <rPr>
        <sz val="11"/>
        <color theme="1"/>
        <rFont val="Calibri"/>
        <family val="2"/>
        <scheme val="minor"/>
      </rPr>
      <t>: In case the country of study is not listed in the"</t>
    </r>
    <r>
      <rPr>
        <b/>
        <sz val="11"/>
        <color theme="8" tint="-0.499984740745262"/>
        <rFont val="Calibri"/>
        <family val="2"/>
        <scheme val="minor"/>
      </rPr>
      <t>Unemployment rate by sex, age, and rural / urban areas (%) - Annual</t>
    </r>
    <r>
      <rPr>
        <sz val="11"/>
        <color theme="1"/>
        <rFont val="Calibri"/>
        <family val="2"/>
        <scheme val="minor"/>
      </rPr>
      <t>" under the "</t>
    </r>
    <r>
      <rPr>
        <b/>
        <sz val="11"/>
        <color theme="8" tint="-0.499984740745262"/>
        <rFont val="Calibri"/>
        <family val="2"/>
        <scheme val="minor"/>
      </rPr>
      <t>Rural and urban labour markets (RURBAN)</t>
    </r>
    <r>
      <rPr>
        <sz val="11"/>
        <color theme="1"/>
        <rFont val="Calibri"/>
        <family val="2"/>
        <scheme val="minor"/>
      </rPr>
      <t>" section, then use the "</t>
    </r>
    <r>
      <rPr>
        <b/>
        <sz val="11"/>
        <color theme="8" tint="-0.499984740745262"/>
        <rFont val="Calibri"/>
        <family val="2"/>
        <scheme val="minor"/>
      </rPr>
      <t>Unemployment rate by sex, age, and rural / urban areas -- ILO modelled estimates, Nov 2020 (%) - Annual</t>
    </r>
    <r>
      <rPr>
        <sz val="11"/>
        <color theme="1"/>
        <rFont val="Calibri"/>
        <family val="2"/>
        <scheme val="minor"/>
      </rPr>
      <t>" under the "</t>
    </r>
    <r>
      <rPr>
        <b/>
        <sz val="11"/>
        <color theme="8" tint="-0.499984740745262"/>
        <rFont val="Calibri"/>
        <family val="2"/>
        <scheme val="minor"/>
      </rPr>
      <t>ILO modelled estimates and projections (ILOEST)"</t>
    </r>
    <r>
      <rPr>
        <sz val="11"/>
        <color theme="1"/>
        <rFont val="Calibri"/>
        <family val="2"/>
        <scheme val="minor"/>
      </rPr>
      <t xml:space="preserve"> section. In this case, choose </t>
    </r>
    <r>
      <rPr>
        <b/>
        <sz val="11"/>
        <color theme="8" tint="-0.499984740745262"/>
        <rFont val="Calibri"/>
        <family val="2"/>
        <scheme val="minor"/>
      </rPr>
      <t>"Youth, adults: 25+</t>
    </r>
    <r>
      <rPr>
        <sz val="11"/>
        <color theme="1"/>
        <rFont val="Calibri"/>
        <family val="2"/>
        <scheme val="minor"/>
      </rPr>
      <t>" in the Age filter</t>
    </r>
  </si>
  <si>
    <r>
      <t xml:space="preserve">Go to the link provided in cell E53. Retrieve this data by --&gt; 
(1) In the search bar </t>
    </r>
    <r>
      <rPr>
        <b/>
        <sz val="11"/>
        <color theme="8" tint="-0.499984740745262"/>
        <rFont val="Calibri"/>
        <family val="2"/>
        <scheme val="minor"/>
      </rPr>
      <t xml:space="preserve">"Dataset" </t>
    </r>
    <r>
      <rPr>
        <sz val="11"/>
        <color theme="8" tint="-0.499984740745262"/>
        <rFont val="Calibri"/>
        <family val="2"/>
        <scheme val="minor"/>
      </rPr>
      <t>type</t>
    </r>
    <r>
      <rPr>
        <b/>
        <sz val="11"/>
        <color theme="8" tint="-0.499984740745262"/>
        <rFont val="Calibri"/>
        <family val="2"/>
        <scheme val="minor"/>
      </rPr>
      <t xml:space="preserve"> "Time-related underemployment"</t>
    </r>
    <r>
      <rPr>
        <sz val="11"/>
        <color theme="8" tint="-0.499984740745262"/>
        <rFont val="Calibri"/>
        <family val="2"/>
        <scheme val="minor"/>
      </rPr>
      <t>;
(2)  You fill see that there are several datapoints for that name. Do not pick the top one, but scroll down to select the one in the right section. The right indicator is named "</t>
    </r>
    <r>
      <rPr>
        <b/>
        <sz val="11"/>
        <color theme="8" tint="-0.499984740745262"/>
        <rFont val="Calibri"/>
        <family val="2"/>
        <scheme val="minor"/>
      </rPr>
      <t>Time-related underemployment by sex, age, and rural / urban areas (%) - Annual</t>
    </r>
    <r>
      <rPr>
        <sz val="11"/>
        <color theme="8" tint="-0.499984740745262"/>
        <rFont val="Calibri"/>
        <family val="2"/>
        <scheme val="minor"/>
      </rPr>
      <t>" under the "</t>
    </r>
    <r>
      <rPr>
        <b/>
        <sz val="11"/>
        <color theme="8" tint="-0.499984740745262"/>
        <rFont val="Calibri"/>
        <family val="2"/>
        <scheme val="minor"/>
      </rPr>
      <t>Rural and urban labour markets (RURBAN)</t>
    </r>
    <r>
      <rPr>
        <sz val="11"/>
        <color theme="8" tint="-0.499984740745262"/>
        <rFont val="Calibri"/>
        <family val="2"/>
        <scheme val="minor"/>
      </rPr>
      <t xml:space="preserve">" section; 
(3) in the </t>
    </r>
    <r>
      <rPr>
        <b/>
        <sz val="11"/>
        <color theme="8" tint="-0.499984740745262"/>
        <rFont val="Calibri"/>
        <family val="2"/>
        <scheme val="minor"/>
      </rPr>
      <t xml:space="preserve">Filter section </t>
    </r>
    <r>
      <rPr>
        <sz val="11"/>
        <color theme="8" tint="-0.499984740745262"/>
        <rFont val="Calibri"/>
        <family val="2"/>
        <scheme val="minor"/>
      </rPr>
      <t>on the left side of the website, select the country of focus,  select "</t>
    </r>
    <r>
      <rPr>
        <b/>
        <sz val="11"/>
        <color theme="8" tint="-0.499984740745262"/>
        <rFont val="Calibri"/>
        <family val="2"/>
        <scheme val="minor"/>
      </rPr>
      <t>Total</t>
    </r>
    <r>
      <rPr>
        <sz val="11"/>
        <color theme="8" tint="-0.499984740745262"/>
        <rFont val="Calibri"/>
        <family val="2"/>
        <scheme val="minor"/>
      </rPr>
      <t>" in the Sex filter, select "</t>
    </r>
    <r>
      <rPr>
        <b/>
        <sz val="11"/>
        <color theme="8" tint="-0.499984740745262"/>
        <rFont val="Calibri"/>
        <family val="2"/>
        <scheme val="minor"/>
      </rPr>
      <t>Aggregated bands: Total</t>
    </r>
    <r>
      <rPr>
        <sz val="11"/>
        <color theme="8" tint="-0.499984740745262"/>
        <rFont val="Calibri"/>
        <family val="2"/>
        <scheme val="minor"/>
      </rPr>
      <t xml:space="preserve">" in the Age filter, </t>
    </r>
    <r>
      <rPr>
        <sz val="11"/>
        <color theme="1"/>
        <rFont val="Calibri"/>
        <family val="2"/>
        <scheme val="minor"/>
      </rPr>
      <t>and select "</t>
    </r>
    <r>
      <rPr>
        <b/>
        <sz val="11"/>
        <color theme="8" tint="-0.499984740745262"/>
        <rFont val="Calibri"/>
        <family val="2"/>
        <scheme val="minor"/>
      </rPr>
      <t>Area type: Rural</t>
    </r>
    <r>
      <rPr>
        <b/>
        <sz val="11"/>
        <color theme="1"/>
        <rFont val="Calibri"/>
        <family val="2"/>
        <scheme val="minor"/>
      </rPr>
      <t>"</t>
    </r>
    <r>
      <rPr>
        <sz val="11"/>
        <color theme="1"/>
        <rFont val="Calibri"/>
        <family val="2"/>
        <scheme val="minor"/>
      </rPr>
      <t xml:space="preserve"> and "</t>
    </r>
    <r>
      <rPr>
        <b/>
        <sz val="11"/>
        <color theme="8" tint="-0.499984740745262"/>
        <rFont val="Calibri"/>
        <family val="2"/>
        <scheme val="minor"/>
      </rPr>
      <t>Area type: Urban</t>
    </r>
    <r>
      <rPr>
        <sz val="11"/>
        <color theme="1"/>
        <rFont val="Calibri"/>
        <family val="2"/>
        <scheme val="minor"/>
      </rPr>
      <t xml:space="preserve">" in the Area type filter, and check the box "Latest period" to show latest avaialable data
</t>
    </r>
    <r>
      <rPr>
        <b/>
        <sz val="11"/>
        <color theme="8" tint="-0.499984740745262"/>
        <rFont val="Calibri"/>
        <family val="2"/>
        <scheme val="minor"/>
      </rPr>
      <t>IMPORTANT:</t>
    </r>
    <r>
      <rPr>
        <sz val="11"/>
        <color theme="1"/>
        <rFont val="Calibri"/>
        <family val="2"/>
        <scheme val="minor"/>
      </rPr>
      <t xml:space="preserve"> In case the country of study is not listed in the</t>
    </r>
    <r>
      <rPr>
        <b/>
        <sz val="11"/>
        <color theme="8" tint="-0.499984740745262"/>
        <rFont val="Calibri"/>
        <family val="2"/>
        <scheme val="minor"/>
      </rPr>
      <t>"Time-related underemployment by sex, age, and rural / urban areas (%) - Annual</t>
    </r>
    <r>
      <rPr>
        <sz val="11"/>
        <color theme="1"/>
        <rFont val="Calibri"/>
        <family val="2"/>
        <scheme val="minor"/>
      </rPr>
      <t>" under the "</t>
    </r>
    <r>
      <rPr>
        <b/>
        <sz val="11"/>
        <color theme="8" tint="-0.499984740745262"/>
        <rFont val="Calibri"/>
        <family val="2"/>
        <scheme val="minor"/>
      </rPr>
      <t>Rural and urban labour markets (RURBAN)</t>
    </r>
    <r>
      <rPr>
        <sz val="11"/>
        <color theme="1"/>
        <rFont val="Calibri"/>
        <family val="2"/>
        <scheme val="minor"/>
      </rPr>
      <t>" section, then use the "</t>
    </r>
    <r>
      <rPr>
        <b/>
        <sz val="11"/>
        <color theme="8" tint="-0.499984740745262"/>
        <rFont val="Calibri"/>
        <family val="2"/>
        <scheme val="minor"/>
      </rPr>
      <t>Time-related underemployment by sex, age -- ILO modelled estimates, Nov 2020 (%) - Annual</t>
    </r>
    <r>
      <rPr>
        <sz val="11"/>
        <color theme="1"/>
        <rFont val="Calibri"/>
        <family val="2"/>
        <scheme val="minor"/>
      </rPr>
      <t>" under the "</t>
    </r>
    <r>
      <rPr>
        <b/>
        <sz val="11"/>
        <color theme="8" tint="-0.499984740745262"/>
        <rFont val="Calibri"/>
        <family val="2"/>
        <scheme val="minor"/>
      </rPr>
      <t>ILO modelled estimates and projections (ILOEST)</t>
    </r>
    <r>
      <rPr>
        <sz val="11"/>
        <color theme="1"/>
        <rFont val="Calibri"/>
        <family val="2"/>
        <scheme val="minor"/>
      </rPr>
      <t>" section. In this case, you won't have a distinction between urban &amp; rural, and you will have to choose "</t>
    </r>
    <r>
      <rPr>
        <b/>
        <sz val="11"/>
        <color theme="8" tint="-0.499984740745262"/>
        <rFont val="Calibri"/>
        <family val="2"/>
        <scheme val="minor"/>
      </rPr>
      <t>Youth, adults: 25+</t>
    </r>
    <r>
      <rPr>
        <sz val="11"/>
        <color theme="1"/>
        <rFont val="Calibri"/>
        <family val="2"/>
        <scheme val="minor"/>
      </rPr>
      <t>" in the Age filter</t>
    </r>
  </si>
  <si>
    <r>
      <rPr>
        <b/>
        <sz val="12"/>
        <color rgb="FF000000"/>
        <rFont val="Calibri"/>
        <family val="2"/>
      </rPr>
      <t>2 or less persons per room</t>
    </r>
    <r>
      <rPr>
        <sz val="12"/>
        <color rgb="FF000000"/>
        <rFont val="Calibri"/>
        <family val="2"/>
      </rPr>
      <t xml:space="preserve"> excluding kitchen and toilet and bath. However, could be one big room of at least </t>
    </r>
    <r>
      <rPr>
        <b/>
        <sz val="12"/>
        <color rgb="FF000000"/>
        <rFont val="Calibri"/>
        <family val="2"/>
      </rPr>
      <t>30 square meters</t>
    </r>
    <r>
      <rPr>
        <sz val="12"/>
        <color rgb="FF000000"/>
        <rFont val="Calibri"/>
        <family val="2"/>
      </rPr>
      <t xml:space="preserve"> for a family of 5 (minimum 6 square meters per person)</t>
    </r>
  </si>
  <si>
    <t xml:space="preserve">Cooking can be done outside the house, if indoors adequate ventilation required if kitchen is inside house (minimum of a window in the kitchen) </t>
  </si>
  <si>
    <r>
      <t>Minimum local decency standard level can changes between different countries (e.g. based on the level of development of the country or cultural differences). Even within the same country, minimum local decency standards might vary depending on the zone (e.g. rural vs urban areas). 
To define a minimum local decency standard that fits the region of the study for the Additional criteria (</t>
    </r>
    <r>
      <rPr>
        <b/>
        <sz val="14"/>
        <color theme="1"/>
        <rFont val="Calibri"/>
        <family val="2"/>
        <scheme val="minor"/>
      </rPr>
      <t>cells D16-D19</t>
    </r>
    <r>
      <rPr>
        <sz val="14"/>
        <color theme="1"/>
        <rFont val="Calibri"/>
        <family val="2"/>
        <scheme val="minor"/>
      </rPr>
      <t xml:space="preserve">), please review the guidance provided in the </t>
    </r>
    <r>
      <rPr>
        <b/>
        <sz val="14"/>
        <color theme="8" tint="-0.499984740745262"/>
        <rFont val="Calibri"/>
        <family val="2"/>
        <scheme val="minor"/>
      </rPr>
      <t>Local Decent Housing Standard Guideline</t>
    </r>
    <r>
      <rPr>
        <sz val="14"/>
        <color theme="1"/>
        <rFont val="Calibri"/>
        <family val="2"/>
        <scheme val="minor"/>
      </rPr>
      <t xml:space="preserve"> document. In that document, there are already pre-defined minimum criteria for the three zones (urban, peri-urban, and rural) that can be used as reference for each study.</t>
    </r>
  </si>
  <si>
    <r>
      <t xml:space="preserve">In rows 27-34, the user needs to specify whether the interviewed individuals meet the defined criteria for decent housing defined above. To answers those questions (Yes or No in a dropdown menu), the user </t>
    </r>
    <r>
      <rPr>
        <b/>
        <sz val="14"/>
        <color theme="8" tint="-0.499984740745262"/>
        <rFont val="Calibri"/>
        <family val="2"/>
        <scheme val="minor"/>
      </rPr>
      <t xml:space="preserve">must consult the answers </t>
    </r>
    <r>
      <rPr>
        <sz val="14"/>
        <color theme="1"/>
        <rFont val="Calibri"/>
        <family val="2"/>
        <scheme val="minor"/>
      </rPr>
      <t xml:space="preserve">from the </t>
    </r>
    <r>
      <rPr>
        <b/>
        <sz val="14"/>
        <color theme="8" tint="-0.499984740745262"/>
        <rFont val="Calibri"/>
        <family val="2"/>
        <scheme val="minor"/>
      </rPr>
      <t>Cost of Living Survey</t>
    </r>
    <r>
      <rPr>
        <sz val="14"/>
        <color theme="1"/>
        <rFont val="Calibri"/>
        <family val="2"/>
        <scheme val="minor"/>
      </rPr>
      <t>. Cells B27-B34 provide an indication of where you can find the information in the Cost of Living Survey that will be needed to answer the question. Cells V27-V34 (</t>
    </r>
    <r>
      <rPr>
        <b/>
        <sz val="14"/>
        <color rgb="FFC00000"/>
        <rFont val="Calibri"/>
        <family val="2"/>
        <scheme val="minor"/>
      </rPr>
      <t>do not edit</t>
    </r>
    <r>
      <rPr>
        <sz val="14"/>
        <color theme="1"/>
        <rFont val="Calibri"/>
        <family val="2"/>
        <scheme val="minor"/>
      </rPr>
      <t xml:space="preserve">) are the criteria that needs to be met (defined in the section above)
Please answer "Yes" if the house of the participant meets that minimum criteria, and "No" if it does not meet that criteria. Based on the answers inserted by the user, the tool will automatically calculate if a participant meets the local standards for decent housing. 
</t>
    </r>
    <r>
      <rPr>
        <b/>
        <sz val="14"/>
        <color theme="1"/>
        <rFont val="Calibri"/>
        <family val="2"/>
        <scheme val="minor"/>
      </rPr>
      <t>Example:</t>
    </r>
    <r>
      <rPr>
        <sz val="14"/>
        <color theme="1"/>
        <rFont val="Calibri"/>
        <family val="2"/>
        <scheme val="minor"/>
      </rPr>
      <t xml:space="preserve">
For instance, if the criteria for Durable Wall structure is "to have permanent walls materials such as brick, cement, and stone", in the case that a participant has a wall made of mud, the user must select "No" in row 28 for that specific participant</t>
    </r>
  </si>
  <si>
    <r>
      <t xml:space="preserve">The Energy consumption target (cell D35) can be adjusted by modifyig the minimum and maximum amounts for food items of the model diet (Section 1C of the "Nutritional input" tab, rows 96-114).
The calculated value (cell E35) will </t>
    </r>
    <r>
      <rPr>
        <b/>
        <sz val="14"/>
        <color rgb="FFC00000"/>
        <rFont val="Calibri"/>
        <family val="2"/>
        <scheme val="minor"/>
      </rPr>
      <t>turn red</t>
    </r>
    <r>
      <rPr>
        <sz val="14"/>
        <color theme="1"/>
        <rFont val="Calibri"/>
        <family val="2"/>
        <scheme val="minor"/>
      </rPr>
      <t xml:space="preserve"> if the target value (cell D35) is not met (a 1% error margin is allowed)
</t>
    </r>
  </si>
  <si>
    <r>
      <t xml:space="preserve">"- Go to the link provided on the left. Under the section </t>
    </r>
    <r>
      <rPr>
        <b/>
        <sz val="11"/>
        <color theme="8" tint="-0.499984740745262"/>
        <rFont val="Calibri"/>
        <family val="2"/>
        <scheme val="minor"/>
      </rPr>
      <t>"Height surveys and studies</t>
    </r>
    <r>
      <rPr>
        <sz val="11"/>
        <color theme="1"/>
        <rFont val="Calibri"/>
        <family val="2"/>
        <scheme val="minor"/>
      </rPr>
      <t>" click "</t>
    </r>
    <r>
      <rPr>
        <b/>
        <sz val="11"/>
        <color theme="8" tint="-0.499984740745262"/>
        <rFont val="Calibri"/>
        <family val="2"/>
        <scheme val="minor"/>
      </rPr>
      <t>[show]</t>
    </r>
    <r>
      <rPr>
        <sz val="11"/>
        <color theme="1"/>
        <rFont val="Calibri"/>
        <family val="2"/>
        <scheme val="minor"/>
      </rPr>
      <t xml:space="preserve">" in the header row of the table and a list of average heights will appear. If available, gather the </t>
    </r>
    <r>
      <rPr>
        <b/>
        <sz val="11"/>
        <color theme="8" tint="-0.499984740745262"/>
        <rFont val="Calibri"/>
        <family val="2"/>
        <scheme val="minor"/>
      </rPr>
      <t xml:space="preserve">average male height </t>
    </r>
    <r>
      <rPr>
        <sz val="11"/>
        <color theme="1"/>
        <rFont val="Calibri"/>
        <family val="2"/>
        <scheme val="minor"/>
      </rPr>
      <t xml:space="preserve">for the country of study. If the average male height is not available, then collect the </t>
    </r>
    <r>
      <rPr>
        <b/>
        <sz val="11"/>
        <color theme="8" tint="-0.499984740745262"/>
        <rFont val="Calibri"/>
        <family val="2"/>
        <scheme val="minor"/>
      </rPr>
      <t>average female height</t>
    </r>
    <r>
      <rPr>
        <sz val="11"/>
        <color theme="1"/>
        <rFont val="Calibri"/>
        <family val="2"/>
        <scheme val="minor"/>
      </rPr>
      <t xml:space="preserve">.
 - In case the country is not listed in the source provided in cell K12, gather the </t>
    </r>
    <r>
      <rPr>
        <b/>
        <sz val="11"/>
        <color theme="8" tint="-0.499984740745262"/>
        <rFont val="Calibri"/>
        <family val="2"/>
        <scheme val="minor"/>
      </rPr>
      <t>average male height</t>
    </r>
    <r>
      <rPr>
        <sz val="11"/>
        <color theme="1"/>
        <rFont val="Calibri"/>
        <family val="2"/>
        <scheme val="minor"/>
      </rPr>
      <t xml:space="preserve"> for the macro-region of the country of study from this link (section "</t>
    </r>
    <r>
      <rPr>
        <b/>
        <sz val="11"/>
        <color theme="8" tint="-0.499984740745262"/>
        <rFont val="Calibri"/>
        <family val="2"/>
        <scheme val="minor"/>
      </rPr>
      <t>Heights by continents</t>
    </r>
    <r>
      <rPr>
        <sz val="11"/>
        <color theme="1"/>
        <rFont val="Calibri"/>
        <family val="2"/>
        <scheme val="minor"/>
      </rPr>
      <t>")--&gt; https://www.worlddata.info/average-bodyheight.php</t>
    </r>
  </si>
  <si>
    <t>Overall results of the Living Income Benchmarks.</t>
  </si>
  <si>
    <t>Define the Reference Household size and geographical focus for the calculation of the LW Benchmark</t>
  </si>
  <si>
    <t>Input sheet for the evaluation of local decent housing criteria</t>
  </si>
  <si>
    <t>Define and adjust the required calorie intake and nutritional values of food</t>
  </si>
  <si>
    <t>1 to 2 cups per day (insert the grams needed for 1 or 2 cups; e.g. one tea bag is around 2 grams)</t>
  </si>
  <si>
    <t>Other</t>
  </si>
  <si>
    <t>Final calculated (g)</t>
  </si>
  <si>
    <t xml:space="preserve">Minimum 150 grams maximum 300 </t>
  </si>
  <si>
    <t>Minimum 50 grams maximum 75 (equivalent to 2 slices to 3 slices per day)</t>
  </si>
  <si>
    <t>Generally, minimum 200 grams maximum 300 (double check with local nutritionist, local consultants, or with national food surveys how important are starchy tubers in the diet. The min and max could be different)</t>
  </si>
  <si>
    <t>Minimum 80 grams maximum 160 (also here, double check if starchy fruit and vegetables are relevant in the country of study)</t>
  </si>
  <si>
    <t>From 28 to 84 grams (28 grams correspond to half serving)  - if vegetarian it can go higher</t>
  </si>
  <si>
    <t>1/4 cup per day [60 grams]</t>
  </si>
  <si>
    <t>15 grams to 30 grams per day (equivalent of 2 to 4 eggs per week)</t>
  </si>
  <si>
    <t>We recommend to have 75 grams as minimum amount - Maximum amount 100 (75 grams is approximately 1 serving)</t>
  </si>
  <si>
    <t>We recommend to have 41 grams as minimum amount - Maximum amount 60</t>
  </si>
  <si>
    <t>We recommend to have 50 grams as minimum amount - Maximum amount 60 (75 grams is approximately 1 serving)</t>
  </si>
  <si>
    <t>We recommend to have 50 grams as minimum amount - Maximum amount 60  (75 grams is approximately 1 serving)</t>
  </si>
  <si>
    <t>&gt;10%</t>
  </si>
  <si>
    <t>50% - 75%</t>
  </si>
  <si>
    <t>Estimated Cost per Room (average)</t>
  </si>
  <si>
    <t>Portion of calories in each meal</t>
  </si>
  <si>
    <t>Breakfast</t>
  </si>
  <si>
    <t>Lunch</t>
  </si>
  <si>
    <t>Dinner</t>
  </si>
  <si>
    <t>REPLACEMENT VALUE of MEALS provided at SCHOOL</t>
  </si>
  <si>
    <t>Cost of model diet for 1 child</t>
  </si>
  <si>
    <t>LCU/day</t>
  </si>
  <si>
    <t>USD/day</t>
  </si>
  <si>
    <t>Replacement value per month</t>
  </si>
  <si>
    <t>Replacement value per year</t>
  </si>
  <si>
    <t>Years of schools with lunch provided</t>
  </si>
  <si>
    <t>Years of children category</t>
  </si>
  <si>
    <t>Days of school per year</t>
  </si>
  <si>
    <t>Total days in one year</t>
  </si>
  <si>
    <t>Average value of lunch</t>
  </si>
  <si>
    <t>LCU/child/month</t>
  </si>
  <si>
    <t>Adjusted value of lunch provided in school</t>
  </si>
  <si>
    <t># of rooms (total)</t>
  </si>
  <si>
    <t>Energy from high quality proteins food items*</t>
  </si>
  <si>
    <t>Energy from proteins</t>
  </si>
  <si>
    <t>solver expalanation</t>
  </si>
  <si>
    <t>Monthly NET living wage</t>
  </si>
  <si>
    <t>Annual NET living wage (which should be equal to the amount the would get from work)</t>
  </si>
  <si>
    <t>Income tax based on NET</t>
  </si>
  <si>
    <t>Gross WAGE</t>
  </si>
  <si>
    <t>solver variable</t>
  </si>
  <si>
    <t>Annual income tax</t>
  </si>
  <si>
    <t>Monthly incomre tax</t>
  </si>
  <si>
    <t>Solve to 0</t>
  </si>
  <si>
    <t>cell to solve --&gt; value of 0 (highlight cell and run the solver add in)</t>
  </si>
  <si>
    <t>Tax rates</t>
  </si>
  <si>
    <t>.</t>
  </si>
  <si>
    <t>Sources</t>
  </si>
  <si>
    <t>Source 1</t>
  </si>
  <si>
    <t>Source 2</t>
  </si>
  <si>
    <t>General Tax</t>
  </si>
  <si>
    <t>​Taxable income bands (text)</t>
  </si>
  <si>
    <t>Taxable income</t>
  </si>
  <si>
    <t>Taxed amount</t>
  </si>
  <si>
    <t>Description / Source</t>
  </si>
  <si>
    <t>Median</t>
  </si>
  <si>
    <t>From data collected via surveys</t>
  </si>
  <si>
    <t>From local consultant</t>
  </si>
  <si>
    <t>Minimum</t>
  </si>
  <si>
    <t>Region data - for South</t>
  </si>
  <si>
    <t>Data for 2019</t>
  </si>
  <si>
    <t>From census - national data</t>
  </si>
  <si>
    <t>As purchased</t>
  </si>
  <si>
    <t>Energy (kcal) per 100g edible portion</t>
  </si>
  <si>
    <t>Quantity edible portion (grams/day)</t>
  </si>
  <si>
    <t>Quantity to purchase (grams/day)</t>
  </si>
  <si>
    <t>Grams edible portion</t>
  </si>
  <si>
    <t>Cost of elder care</t>
  </si>
  <si>
    <r>
      <t xml:space="preserve">The minimum standard is to have permanent walls.
</t>
    </r>
    <r>
      <rPr>
        <b/>
        <sz val="12"/>
        <color rgb="FF000000"/>
        <rFont val="Calibri"/>
        <family val="2"/>
      </rPr>
      <t xml:space="preserve">Accepted: </t>
    </r>
    <r>
      <rPr>
        <sz val="12"/>
        <color rgb="FF000000"/>
        <rFont val="Calibri"/>
        <family val="2"/>
      </rPr>
      <t>Brick/cement/stone/well-joined walls</t>
    </r>
    <r>
      <rPr>
        <b/>
        <sz val="12"/>
        <color rgb="FF000000"/>
        <rFont val="Calibri"/>
        <family val="2"/>
      </rPr>
      <t xml:space="preserve">
Unaccepted: </t>
    </r>
    <r>
      <rPr>
        <sz val="12"/>
        <color rgb="FF000000"/>
        <rFont val="Calibri"/>
        <family val="2"/>
      </rPr>
      <t>Mud, mud with Stone, sticks, bamboo or iron sheets are unacceptable. Wood-walls is unacceptable in case of high risks of hurricanes in the region</t>
    </r>
  </si>
  <si>
    <r>
      <t xml:space="preserve">The minimum standard is to have permanent roof without leaks. </t>
    </r>
    <r>
      <rPr>
        <b/>
        <sz val="12"/>
        <color rgb="FF000000"/>
        <rFont val="Calibri"/>
        <family val="2"/>
      </rPr>
      <t xml:space="preserve">
Accepted:</t>
    </r>
    <r>
      <rPr>
        <sz val="12"/>
        <color rgb="FF000000"/>
        <rFont val="Calibri"/>
        <family val="2"/>
      </rPr>
      <t xml:space="preserve"> Zinc or iron sheet/corrugated iron/ cement/tile roof</t>
    </r>
    <r>
      <rPr>
        <b/>
        <sz val="12"/>
        <color rgb="FF000000"/>
        <rFont val="Calibri"/>
        <family val="2"/>
      </rPr>
      <t xml:space="preserve">
Unaccepted: </t>
    </r>
    <r>
      <rPr>
        <sz val="12"/>
        <color rgb="FF000000"/>
        <rFont val="Calibri"/>
        <family val="2"/>
      </rPr>
      <t>Thatch is unacceptable</t>
    </r>
  </si>
  <si>
    <r>
      <t xml:space="preserve">The minimum standard is to have permanent floor above ground. </t>
    </r>
    <r>
      <rPr>
        <b/>
        <sz val="12"/>
        <color rgb="FF000000"/>
        <rFont val="Calibri"/>
        <family val="2"/>
      </rPr>
      <t xml:space="preserve">
Accepted: </t>
    </r>
    <r>
      <rPr>
        <sz val="12"/>
        <color rgb="FF000000"/>
        <rFont val="Calibri"/>
        <family val="2"/>
      </rPr>
      <t>Cement/stone/tile/wood floor</t>
    </r>
    <r>
      <rPr>
        <b/>
        <sz val="12"/>
        <color rgb="FF000000"/>
        <rFont val="Calibri"/>
        <family val="2"/>
      </rPr>
      <t xml:space="preserve">
Unaccepted: </t>
    </r>
    <r>
      <rPr>
        <sz val="12"/>
        <color rgb="FF000000"/>
        <rFont val="Calibri"/>
        <family val="2"/>
      </rPr>
      <t>Mud, earth/dung, thatch</t>
    </r>
  </si>
  <si>
    <t>Grid may not be available. Access to electricity or alternative fuels to provide at least adequate lighting.</t>
  </si>
  <si>
    <r>
      <t xml:space="preserve">Input sheet for the </t>
    </r>
    <r>
      <rPr>
        <b/>
        <sz val="11"/>
        <color rgb="FF000000"/>
        <rFont val="Calibri"/>
        <family val="2"/>
      </rPr>
      <t>Cost of Living Survey (CLS)</t>
    </r>
  </si>
  <si>
    <r>
      <t xml:space="preserve">Input sheet for food prices from the the </t>
    </r>
    <r>
      <rPr>
        <b/>
        <sz val="11"/>
        <color rgb="FF000000"/>
        <rFont val="Calibri"/>
        <family val="2"/>
      </rPr>
      <t>Food Price Survey</t>
    </r>
  </si>
  <si>
    <r>
      <t xml:space="preserve">These are values calculated by the tool. </t>
    </r>
    <r>
      <rPr>
        <b/>
        <sz val="11"/>
        <color rgb="FFC00000"/>
        <rFont val="Calibri"/>
        <family val="2"/>
      </rPr>
      <t xml:space="preserve">Do not edit </t>
    </r>
    <r>
      <rPr>
        <sz val="11"/>
        <color theme="1"/>
        <rFont val="Calibri"/>
        <family val="2"/>
        <scheme val="minor"/>
      </rPr>
      <t>these cells.</t>
    </r>
  </si>
  <si>
    <r>
      <t xml:space="preserve">These are assumptions based on publicly available sources. </t>
    </r>
    <r>
      <rPr>
        <b/>
        <sz val="11"/>
        <color rgb="FFC00000"/>
        <rFont val="Calibri"/>
        <family val="2"/>
      </rPr>
      <t xml:space="preserve">Do not edit </t>
    </r>
    <r>
      <rPr>
        <sz val="11"/>
        <color theme="1"/>
        <rFont val="Calibri"/>
        <family val="2"/>
        <scheme val="minor"/>
      </rPr>
      <t>these cells</t>
    </r>
  </si>
  <si>
    <r>
      <t xml:space="preserve">All cells (excluding inputs) and calculations are blocked. Users are not allowed to add any rows or columns (except for the </t>
    </r>
    <r>
      <rPr>
        <i/>
        <sz val="11"/>
        <color rgb="FF000000"/>
        <rFont val="Calibri"/>
        <family val="2"/>
      </rPr>
      <t>food cost tab, if necessary)</t>
    </r>
    <r>
      <rPr>
        <sz val="11"/>
        <color theme="1"/>
        <rFont val="Calibri"/>
        <family val="2"/>
        <scheme val="minor"/>
      </rPr>
      <t>. We strongly recommend to keep the excel file protected to avoid structural changes to the model.</t>
    </r>
  </si>
  <si>
    <t>Safe toilet in or near house. 
Unaccepted: Pit latrine without slab or open pit is unacceptable
We consider pit latrine with slab minimum acceptable</t>
  </si>
  <si>
    <t>Check these for comparison</t>
  </si>
  <si>
    <t>Lowest price</t>
  </si>
  <si>
    <t>Cost per person</t>
  </si>
  <si>
    <t>Safe water in or near house. Unprotected wells are unacceptable. Walking distance from water source &lt;3km
River water is okay for shower or other use, but not acceptable for drinking.</t>
  </si>
  <si>
    <t>Electricity (LCU / month)</t>
  </si>
  <si>
    <t>Cooking fuel (LCU / month)</t>
  </si>
  <si>
    <t>UGANDA</t>
  </si>
  <si>
    <t>Central Uganda</t>
  </si>
  <si>
    <t>Yes</t>
  </si>
  <si>
    <t>M</t>
  </si>
  <si>
    <t>F</t>
  </si>
  <si>
    <t>Rice 1</t>
  </si>
  <si>
    <t>Rice 2</t>
  </si>
  <si>
    <t>Rice 3</t>
  </si>
  <si>
    <t>Rice 4</t>
  </si>
  <si>
    <t>Bread</t>
  </si>
  <si>
    <t>chapati</t>
  </si>
  <si>
    <t>Doughnut</t>
  </si>
  <si>
    <t>Cassava</t>
  </si>
  <si>
    <t>Potatoes</t>
  </si>
  <si>
    <t>Yams</t>
  </si>
  <si>
    <t>Pumpkin</t>
  </si>
  <si>
    <t>Green Pepper</t>
  </si>
  <si>
    <t>Groundnuts</t>
  </si>
  <si>
    <t>fresh Beans</t>
  </si>
  <si>
    <t>Peas</t>
  </si>
  <si>
    <t>Soy</t>
  </si>
  <si>
    <t>drybeans</t>
  </si>
  <si>
    <t>Milk</t>
  </si>
  <si>
    <t>Youghurt</t>
  </si>
  <si>
    <t>Butter</t>
  </si>
  <si>
    <t>Chicken</t>
  </si>
  <si>
    <t>beef</t>
  </si>
  <si>
    <t>Goat/Chevon</t>
  </si>
  <si>
    <t>Ngege Fresh</t>
  </si>
  <si>
    <t>Mpuuta</t>
  </si>
  <si>
    <t>Mukene</t>
  </si>
  <si>
    <t>Ngege Dried</t>
  </si>
  <si>
    <t>Nakati</t>
  </si>
  <si>
    <t>Spinach</t>
  </si>
  <si>
    <t>Sukuma</t>
  </si>
  <si>
    <t>Doodo</t>
  </si>
  <si>
    <t>Bbuga</t>
  </si>
  <si>
    <t>Spring Onions</t>
  </si>
  <si>
    <t>Cabbage</t>
  </si>
  <si>
    <t>Water Melon</t>
  </si>
  <si>
    <t>Mangoes</t>
  </si>
  <si>
    <t>Bananas</t>
  </si>
  <si>
    <t>Pine Apple</t>
  </si>
  <si>
    <t>Cooking Oil</t>
  </si>
  <si>
    <t>Cow Ghee</t>
  </si>
  <si>
    <t>Processed Fats (Cowboy)</t>
  </si>
  <si>
    <t>soda</t>
  </si>
  <si>
    <t>Banana Juice</t>
  </si>
  <si>
    <t>Pine Apple Juice</t>
  </si>
  <si>
    <t>Non Alcoholic Kombucha</t>
  </si>
  <si>
    <t>?</t>
  </si>
  <si>
    <t>Matooke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</si>
</sst>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quot;$&quot;#,##0_);[Red]\(&quot;$&quot;#,##0\)"/>
    <numFmt numFmtId="165" formatCode="&quot;$&quot;#,##0.00_);[Red]\(&quot;$&quot;#,##0.00\)"/>
    <numFmt numFmtId="166" formatCode="_(* #,##0.00_);_(* \(#,##0.00\);_(* &quot;-&quot;??_);_(@_)"/>
    <numFmt numFmtId="167" formatCode="_ * #,##0.00_ ;_ * \-#,##0.00_ ;_ * &quot;-&quot;??_ ;_ @_ "/>
    <numFmt numFmtId="168" formatCode="0.0"/>
    <numFmt numFmtId="169" formatCode="_(* #,##0_);_(* \(#,##0\);_(* &quot;-&quot;??_);_(@_)"/>
    <numFmt numFmtId="170" formatCode="0.00_);\(0.00\)"/>
    <numFmt numFmtId="171" formatCode="0.0_);\(0.0\)"/>
    <numFmt numFmtId="172" formatCode="0.0%"/>
    <numFmt numFmtId="173" formatCode="#,##0_ ;\-#,##0\ "/>
    <numFmt numFmtId="174" formatCode="#,##0.00_ ;\-#,##0.00\ "/>
    <numFmt numFmtId="175" formatCode="#,##0.0_ ;\-#,##0.0\ "/>
    <numFmt numFmtId="176" formatCode="#,##0.00000"/>
    <numFmt numFmtId="177" formatCode="#,##0.00000000000_);\(#,##0.00000000000\)"/>
    <numFmt numFmtId="178" formatCode="#,##0.000000000"/>
    <numFmt numFmtId="179" formatCode="0.00000"/>
    <numFmt numFmtId="180" formatCode="_ * #,##0.000_ ;_ * \-#,##0.000_ ;_ * &quot;-&quot;??_ ;_ @_ "/>
    <numFmt numFmtId="181" formatCode="0.000"/>
  </numFmts>
  <fonts count="61"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u/>
      <sz val="11"/>
      <color theme="10"/>
      <name val="Calibri"/>
      <family val="2"/>
      <scheme val="minor"/>
    </font>
    <font>
      <b/>
      <sz val="11"/>
      <name val="Calibri"/>
      <family val="2"/>
      <scheme val="minor"/>
    </font>
    <font>
      <i/>
      <sz val="11"/>
      <color theme="1"/>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4"/>
      <name val="Calibri"/>
      <family val="2"/>
      <scheme val="minor"/>
    </font>
    <font>
      <sz val="12"/>
      <name val="Calibri"/>
      <family val="2"/>
      <scheme val="minor"/>
    </font>
    <font>
      <sz val="8"/>
      <name val="Calibri"/>
      <family val="2"/>
      <scheme val="minor"/>
    </font>
    <font>
      <sz val="11"/>
      <color theme="1"/>
      <name val="Calibri"/>
      <family val="2"/>
      <scheme val="minor"/>
    </font>
    <font>
      <i/>
      <sz val="11"/>
      <color rgb="FFFF0000"/>
      <name val="Calibri"/>
      <family val="2"/>
      <scheme val="minor"/>
    </font>
    <font>
      <b/>
      <i/>
      <sz val="11"/>
      <color theme="1"/>
      <name val="Calibri"/>
      <family val="2"/>
      <scheme val="minor"/>
    </font>
    <font>
      <sz val="11"/>
      <color theme="1"/>
      <name val="Calibri Light"/>
      <family val="2"/>
      <scheme val="major"/>
    </font>
    <font>
      <b/>
      <sz val="18"/>
      <color theme="1"/>
      <name val="Calibri"/>
      <family val="2"/>
      <scheme val="minor"/>
    </font>
    <font>
      <b/>
      <sz val="11"/>
      <color theme="0"/>
      <name val="Calibri"/>
      <family val="2"/>
      <scheme val="minor"/>
    </font>
    <font>
      <i/>
      <sz val="9"/>
      <color theme="1"/>
      <name val="Calibri"/>
      <family val="2"/>
      <scheme val="minor"/>
    </font>
    <font>
      <sz val="10"/>
      <color theme="1"/>
      <name val="Calibri"/>
      <family val="2"/>
      <scheme val="minor"/>
    </font>
    <font>
      <sz val="11"/>
      <color theme="0"/>
      <name val="Calibri"/>
      <family val="2"/>
      <scheme val="minor"/>
    </font>
    <font>
      <b/>
      <sz val="48"/>
      <color theme="8" tint="-0.499984740745262"/>
      <name val="Calibri"/>
      <family val="2"/>
      <scheme val="minor"/>
    </font>
    <font>
      <b/>
      <sz val="11"/>
      <color theme="8" tint="-0.499984740745262"/>
      <name val="Calibri"/>
      <family val="2"/>
      <scheme val="minor"/>
    </font>
    <font>
      <b/>
      <sz val="16"/>
      <color theme="8" tint="-0.499984740745262"/>
      <name val="Calibri"/>
      <family val="2"/>
      <scheme val="minor"/>
    </font>
    <font>
      <i/>
      <sz val="14"/>
      <color theme="1"/>
      <name val="Calibri"/>
      <family val="2"/>
      <scheme val="minor"/>
    </font>
    <font>
      <sz val="14"/>
      <name val="Calibri"/>
      <family val="2"/>
      <scheme val="minor"/>
    </font>
    <font>
      <b/>
      <u/>
      <sz val="11"/>
      <color theme="8" tint="-0.499984740745262"/>
      <name val="Calibri"/>
      <family val="2"/>
      <scheme val="minor"/>
    </font>
    <font>
      <sz val="11"/>
      <color theme="8" tint="-0.499984740745262"/>
      <name val="Calibri"/>
      <family val="2"/>
      <scheme val="minor"/>
    </font>
    <font>
      <b/>
      <sz val="16"/>
      <color theme="0"/>
      <name val="Calibri"/>
      <family val="2"/>
      <scheme val="minor"/>
    </font>
    <font>
      <b/>
      <u/>
      <sz val="18"/>
      <color theme="8" tint="-0.499984740745262"/>
      <name val="Calibri"/>
      <family val="2"/>
      <scheme val="minor"/>
    </font>
    <font>
      <b/>
      <sz val="14"/>
      <color theme="8" tint="-0.499984740745262"/>
      <name val="Calibri"/>
      <family val="2"/>
      <scheme val="minor"/>
    </font>
    <font>
      <sz val="14"/>
      <color theme="8" tint="-0.499984740745262"/>
      <name val="Calibri"/>
      <family val="2"/>
      <scheme val="minor"/>
    </font>
    <font>
      <b/>
      <u/>
      <sz val="22"/>
      <color theme="8" tint="-0.499984740745262"/>
      <name val="Calibri"/>
      <family val="2"/>
      <scheme val="minor"/>
    </font>
    <font>
      <b/>
      <sz val="11"/>
      <color rgb="FFC00000"/>
      <name val="Calibri"/>
      <family val="2"/>
      <scheme val="minor"/>
    </font>
    <font>
      <b/>
      <sz val="16"/>
      <color theme="1"/>
      <name val="Calibri"/>
      <family val="2"/>
      <scheme val="minor"/>
    </font>
    <font>
      <i/>
      <u/>
      <sz val="11"/>
      <color theme="1"/>
      <name val="Calibri"/>
      <family val="2"/>
      <scheme val="minor"/>
    </font>
    <font>
      <b/>
      <u/>
      <sz val="11"/>
      <color theme="1"/>
      <name val="Calibri"/>
      <family val="2"/>
      <scheme val="minor"/>
    </font>
    <font>
      <b/>
      <sz val="12"/>
      <color rgb="FF000000"/>
      <name val="Calibri"/>
      <family val="2"/>
    </font>
    <font>
      <sz val="12"/>
      <color rgb="FF000000"/>
      <name val="Calibri"/>
      <family val="2"/>
    </font>
    <font>
      <b/>
      <u/>
      <sz val="16"/>
      <color theme="8" tint="-0.499984740745262"/>
      <name val="Calibri"/>
      <family val="2"/>
      <scheme val="minor"/>
    </font>
    <font>
      <b/>
      <sz val="14"/>
      <color rgb="FFC00000"/>
      <name val="Calibri"/>
      <family val="2"/>
      <scheme val="minor"/>
    </font>
    <font>
      <b/>
      <sz val="20"/>
      <color theme="8" tint="-0.499984740745262"/>
      <name val="Calibri"/>
      <family val="2"/>
      <scheme val="minor"/>
    </font>
    <font>
      <b/>
      <sz val="24"/>
      <color theme="8" tint="-0.499984740745262"/>
      <name val="Calibri"/>
      <family val="2"/>
      <scheme val="minor"/>
    </font>
    <font>
      <b/>
      <sz val="22"/>
      <color rgb="FFC00000"/>
      <name val="Calibri"/>
      <family val="2"/>
      <scheme val="minor"/>
    </font>
    <font>
      <u/>
      <sz val="14"/>
      <color theme="8" tint="-0.499984740745262"/>
      <name val="Calibri"/>
      <family val="2"/>
      <scheme val="minor"/>
    </font>
    <font>
      <u/>
      <sz val="11"/>
      <color theme="1"/>
      <name val="Calibri"/>
      <family val="2"/>
      <scheme val="minor"/>
    </font>
    <font>
      <sz val="11"/>
      <color theme="1"/>
      <name val="Calibri"/>
      <family val="2"/>
    </font>
    <font>
      <sz val="11"/>
      <color theme="1"/>
      <name val="Calibri (Body)"/>
    </font>
    <font>
      <sz val="8"/>
      <color rgb="FF323232"/>
      <name val="Arial"/>
      <family val="2"/>
    </font>
    <font>
      <b/>
      <sz val="11"/>
      <color theme="1"/>
      <name val="Calibri"/>
      <family val="2"/>
    </font>
    <font>
      <sz val="11"/>
      <name val="Calibri Light"/>
      <family val="2"/>
      <scheme val="major"/>
    </font>
    <font>
      <b/>
      <sz val="48"/>
      <color rgb="FF203764"/>
      <name val="Calibri"/>
      <family val="2"/>
    </font>
    <font>
      <b/>
      <u/>
      <sz val="11"/>
      <color rgb="FF203764"/>
      <name val="Calibri"/>
      <family val="2"/>
    </font>
    <font>
      <b/>
      <sz val="11"/>
      <color rgb="FF000000"/>
      <name val="Calibri"/>
      <family val="2"/>
    </font>
    <font>
      <b/>
      <sz val="11"/>
      <color rgb="FF203764"/>
      <name val="Calibri"/>
      <family val="2"/>
    </font>
    <font>
      <u/>
      <sz val="11"/>
      <color rgb="FF0563C1"/>
      <name val="Calibri"/>
      <family val="2"/>
    </font>
    <font>
      <sz val="11"/>
      <color rgb="FF000000"/>
      <name val="Calibri Light"/>
      <family val="2"/>
    </font>
    <font>
      <b/>
      <sz val="11"/>
      <color rgb="FFC00000"/>
      <name val="Calibri"/>
      <family val="2"/>
    </font>
    <font>
      <i/>
      <sz val="11"/>
      <color rgb="FF000000"/>
      <name val="Calibri"/>
      <family val="2"/>
    </font>
  </fonts>
  <fills count="2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FFB7B9"/>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rgb="FFFEF2CB"/>
        <bgColor rgb="FFFEF2CB"/>
      </patternFill>
    </fill>
    <fill>
      <patternFill patternType="solid">
        <fgColor rgb="FFD9E2F3"/>
        <bgColor rgb="FFD9E2F3"/>
      </patternFill>
    </fill>
    <fill>
      <patternFill patternType="solid">
        <fgColor rgb="FFD0CECE"/>
        <bgColor rgb="FF000000"/>
      </patternFill>
    </fill>
    <fill>
      <patternFill patternType="solid">
        <fgColor rgb="FFF2F2F2"/>
        <bgColor rgb="FF000000"/>
      </patternFill>
    </fill>
    <fill>
      <patternFill patternType="solid">
        <fgColor rgb="FFFFF2CC"/>
        <bgColor rgb="FF000000"/>
      </patternFill>
    </fill>
    <fill>
      <patternFill patternType="solid">
        <fgColor rgb="FFE2EFDA"/>
        <bgColor rgb="FF000000"/>
      </patternFill>
    </fill>
    <fill>
      <patternFill patternType="solid">
        <fgColor rgb="FFD9E1F2"/>
        <bgColor rgb="FF000000"/>
      </patternFill>
    </fill>
    <fill>
      <patternFill patternType="solid">
        <fgColor rgb="FFEDEDED"/>
        <bgColor rgb="FF000000"/>
      </patternFill>
    </fill>
    <fill>
      <patternFill patternType="solid">
        <fgColor rgb="FFFFFF00"/>
        <bgColor indexed="64"/>
      </patternFill>
    </fill>
  </fills>
  <borders count="4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auto="1"/>
      </top>
      <bottom style="medium">
        <color auto="1"/>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bottom style="medium">
        <color indexed="64"/>
      </bottom>
      <diagonal/>
    </border>
    <border>
      <left style="thin">
        <color theme="7" tint="0.39997558519241921"/>
      </left>
      <right style="thin">
        <color theme="7" tint="0.39997558519241921"/>
      </right>
      <top style="thin">
        <color theme="7" tint="0.39997558519241921"/>
      </top>
      <bottom style="thin">
        <color theme="7" tint="0.39997558519241921"/>
      </bottom>
      <diagonal/>
    </border>
    <border>
      <left style="medium">
        <color indexed="64"/>
      </left>
      <right/>
      <top style="medium">
        <color indexed="64"/>
      </top>
      <bottom style="medium">
        <color indexed="64"/>
      </bottom>
      <diagonal/>
    </border>
    <border>
      <left/>
      <right/>
      <top/>
      <bottom style="double">
        <color indexed="64"/>
      </bottom>
      <diagonal/>
    </border>
    <border>
      <left style="thin">
        <color indexed="64"/>
      </left>
      <right/>
      <top/>
      <bottom/>
      <diagonal/>
    </border>
    <border>
      <left/>
      <right style="thin">
        <color indexed="64"/>
      </right>
      <top/>
      <bottom style="thin">
        <color indexed="64"/>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double">
        <color theme="8" tint="-0.499984740745262"/>
      </left>
      <right/>
      <top style="double">
        <color theme="8" tint="-0.499984740745262"/>
      </top>
      <bottom/>
      <diagonal/>
    </border>
    <border>
      <left/>
      <right/>
      <top style="double">
        <color theme="8" tint="-0.499984740745262"/>
      </top>
      <bottom/>
      <diagonal/>
    </border>
    <border>
      <left/>
      <right style="double">
        <color theme="8" tint="-0.499984740745262"/>
      </right>
      <top style="double">
        <color theme="8" tint="-0.499984740745262"/>
      </top>
      <bottom/>
      <diagonal/>
    </border>
    <border>
      <left style="double">
        <color theme="8" tint="-0.499984740745262"/>
      </left>
      <right/>
      <top/>
      <bottom/>
      <diagonal/>
    </border>
    <border>
      <left/>
      <right style="double">
        <color theme="8" tint="-0.499984740745262"/>
      </right>
      <top/>
      <bottom/>
      <diagonal/>
    </border>
    <border>
      <left style="double">
        <color theme="8" tint="-0.499984740745262"/>
      </left>
      <right/>
      <top/>
      <bottom style="double">
        <color theme="8" tint="-0.499984740745262"/>
      </bottom>
      <diagonal/>
    </border>
    <border>
      <left/>
      <right/>
      <top/>
      <bottom style="double">
        <color theme="8" tint="-0.499984740745262"/>
      </bottom>
      <diagonal/>
    </border>
    <border>
      <left/>
      <right style="double">
        <color theme="8" tint="-0.499984740745262"/>
      </right>
      <top/>
      <bottom style="double">
        <color theme="8" tint="-0.499984740745262"/>
      </bottom>
      <diagonal/>
    </border>
    <border>
      <left style="thin">
        <color theme="8" tint="-0.499984740745262"/>
      </left>
      <right style="thin">
        <color theme="8" tint="-0.499984740745262"/>
      </right>
      <top/>
      <bottom style="thin">
        <color theme="8" tint="-0.49998474074526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medium">
        <color indexed="64"/>
      </top>
      <bottom/>
      <diagonal/>
    </border>
    <border>
      <left/>
      <right/>
      <top style="thin">
        <color indexed="64"/>
      </top>
      <bottom style="thin">
        <color indexed="64"/>
      </bottom>
      <diagonal/>
    </border>
    <border>
      <left style="thin">
        <color theme="7" tint="0.39997558519241921"/>
      </left>
      <right style="thin">
        <color theme="7" tint="0.39997558519241921"/>
      </right>
      <top/>
      <bottom style="thin">
        <color theme="7" tint="0.3999755851924192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7" tint="0.39997558519241921"/>
      </left>
      <right style="thin">
        <color theme="7" tint="0.39997558519241921"/>
      </right>
      <top style="thin">
        <color theme="7" tint="0.39997558519241921"/>
      </top>
      <bottom/>
      <diagonal/>
    </border>
    <border>
      <left style="medium">
        <color indexed="64"/>
      </left>
      <right style="thin">
        <color indexed="64"/>
      </right>
      <top style="medium">
        <color indexed="64"/>
      </top>
      <bottom style="medium">
        <color indexed="64"/>
      </bottom>
      <diagonal/>
    </border>
    <border>
      <left style="thin">
        <color theme="8" tint="-0.499984740745262"/>
      </left>
      <right/>
      <top style="thin">
        <color theme="8" tint="-0.499984740745262"/>
      </top>
      <bottom style="thin">
        <color theme="8" tint="-0.499984740745262"/>
      </bottom>
      <diagonal/>
    </border>
    <border>
      <left/>
      <right style="thin">
        <color theme="8" tint="-0.499984740745262"/>
      </right>
      <top style="thin">
        <color theme="8" tint="-0.499984740745262"/>
      </top>
      <bottom style="thin">
        <color theme="8" tint="-0.499984740745262"/>
      </bottom>
      <diagonal/>
    </border>
    <border>
      <left style="thin">
        <color rgb="FF000000"/>
      </left>
      <right style="thin">
        <color rgb="FF000000"/>
      </right>
      <top style="thin">
        <color rgb="FF000000"/>
      </top>
      <bottom style="thin">
        <color rgb="FF000000"/>
      </bottom>
      <diagonal/>
    </border>
    <border>
      <left style="thin">
        <color rgb="FF203764"/>
      </left>
      <right style="thin">
        <color rgb="FF203764"/>
      </right>
      <top style="thin">
        <color rgb="FF203764"/>
      </top>
      <bottom style="thin">
        <color rgb="FF203764"/>
      </bottom>
      <diagonal/>
    </border>
    <border>
      <left style="thin">
        <color rgb="FFFFD966"/>
      </left>
      <right style="thin">
        <color rgb="FFFFD966"/>
      </right>
      <top/>
      <bottom style="thin">
        <color rgb="FFFFD966"/>
      </bottom>
      <diagonal/>
    </border>
  </borders>
  <cellStyleXfs count="5">
    <xf numFmtId="0" fontId="0" fillId="0" borderId="0"/>
    <xf numFmtId="0" fontId="4" fillId="0" borderId="0" applyNumberFormat="0" applyFill="0" applyBorder="0" applyAlignment="0" applyProtection="0"/>
    <xf numFmtId="167" fontId="14" fillId="0" borderId="0" applyFont="0" applyFill="0" applyBorder="0" applyAlignment="0" applyProtection="0"/>
    <xf numFmtId="9" fontId="14" fillId="0" borderId="0" applyFont="0" applyFill="0" applyBorder="0" applyAlignment="0" applyProtection="0"/>
    <xf numFmtId="166" fontId="14" fillId="0" borderId="0" applyFont="0" applyFill="0" applyBorder="0" applyAlignment="0" applyProtection="0"/>
  </cellStyleXfs>
  <cellXfs count="443">
    <xf numFmtId="0" fontId="0" fillId="0" borderId="0" xfId="0"/>
    <xf numFmtId="0" fontId="0" fillId="6" borderId="0" xfId="0" applyFill="1"/>
    <xf numFmtId="0" fontId="4" fillId="0" borderId="0" xfId="1"/>
    <xf numFmtId="0" fontId="0" fillId="0" borderId="0" xfId="0" applyAlignment="1">
      <alignment horizontal="right"/>
    </xf>
    <xf numFmtId="0" fontId="28" fillId="0" borderId="0" xfId="0" applyFont="1"/>
    <xf numFmtId="0" fontId="19" fillId="13" borderId="0" xfId="0" applyFont="1" applyFill="1"/>
    <xf numFmtId="0" fontId="22" fillId="13" borderId="0" xfId="0" applyFont="1" applyFill="1"/>
    <xf numFmtId="0" fontId="4" fillId="6" borderId="0" xfId="1" applyFill="1"/>
    <xf numFmtId="0" fontId="30" fillId="13" borderId="0" xfId="0" applyFont="1" applyFill="1"/>
    <xf numFmtId="0" fontId="23" fillId="0" borderId="0" xfId="0" applyFont="1" applyAlignment="1">
      <alignment horizontal="left" indent="9"/>
    </xf>
    <xf numFmtId="0" fontId="0" fillId="0" borderId="7" xfId="0" applyBorder="1" applyAlignment="1">
      <alignment horizontal="left" vertical="center" wrapText="1"/>
    </xf>
    <xf numFmtId="0" fontId="0" fillId="0" borderId="7" xfId="0" applyBorder="1" applyAlignment="1">
      <alignment vertical="center" wrapText="1"/>
    </xf>
    <xf numFmtId="0" fontId="0" fillId="0" borderId="7" xfId="0" applyBorder="1" applyAlignment="1">
      <alignment vertical="center"/>
    </xf>
    <xf numFmtId="0" fontId="0" fillId="18" borderId="31" xfId="0" applyFill="1" applyBorder="1" applyAlignment="1">
      <alignment horizontal="center" vertical="center" wrapText="1"/>
    </xf>
    <xf numFmtId="0" fontId="0" fillId="18" borderId="33" xfId="0" applyFill="1" applyBorder="1" applyAlignment="1">
      <alignment horizontal="center" vertical="center" wrapText="1"/>
    </xf>
    <xf numFmtId="0" fontId="0" fillId="18" borderId="28" xfId="0" applyFill="1" applyBorder="1" applyAlignment="1">
      <alignment horizontal="center" vertical="center" wrapText="1"/>
    </xf>
    <xf numFmtId="0" fontId="29" fillId="6" borderId="0" xfId="0" applyFont="1" applyFill="1" applyAlignment="1">
      <alignment vertical="center"/>
    </xf>
    <xf numFmtId="0" fontId="2" fillId="4" borderId="7" xfId="0" applyFont="1" applyFill="1" applyBorder="1" applyAlignment="1">
      <alignment horizontal="center"/>
    </xf>
    <xf numFmtId="0" fontId="2" fillId="4" borderId="7" xfId="0" applyFont="1" applyFill="1" applyBorder="1" applyAlignment="1">
      <alignment wrapText="1"/>
    </xf>
    <xf numFmtId="0" fontId="0" fillId="2" borderId="7" xfId="0" applyFill="1" applyBorder="1" applyAlignment="1" applyProtection="1">
      <alignment horizontal="center" vertical="center"/>
      <protection locked="0"/>
    </xf>
    <xf numFmtId="173" fontId="14" fillId="2" borderId="7" xfId="2" applyNumberFormat="1" applyFont="1" applyFill="1" applyBorder="1" applyAlignment="1" applyProtection="1">
      <alignment horizontal="center" vertical="center"/>
      <protection locked="0"/>
    </xf>
    <xf numFmtId="0" fontId="23" fillId="0" borderId="0" xfId="0" applyFont="1" applyProtection="1">
      <protection hidden="1"/>
    </xf>
    <xf numFmtId="0" fontId="0" fillId="0" borderId="0" xfId="0" applyProtection="1">
      <protection hidden="1"/>
    </xf>
    <xf numFmtId="0" fontId="28" fillId="0" borderId="0" xfId="0" applyFont="1" applyProtection="1">
      <protection hidden="1"/>
    </xf>
    <xf numFmtId="0" fontId="36" fillId="5" borderId="0" xfId="0" applyFont="1" applyFill="1" applyProtection="1">
      <protection hidden="1"/>
    </xf>
    <xf numFmtId="0" fontId="2" fillId="5" borderId="0" xfId="0" applyFont="1" applyFill="1" applyProtection="1">
      <protection hidden="1"/>
    </xf>
    <xf numFmtId="0" fontId="47" fillId="0" borderId="0" xfId="0" applyFont="1" applyProtection="1">
      <protection hidden="1"/>
    </xf>
    <xf numFmtId="170" fontId="0" fillId="6" borderId="0" xfId="0" applyNumberFormat="1" applyFill="1" applyAlignment="1" applyProtection="1">
      <alignment horizontal="center"/>
      <protection hidden="1"/>
    </xf>
    <xf numFmtId="0" fontId="19" fillId="13" borderId="0" xfId="0" applyFont="1" applyFill="1" applyProtection="1">
      <protection hidden="1"/>
    </xf>
    <xf numFmtId="0" fontId="22" fillId="13" borderId="0" xfId="0" applyFont="1" applyFill="1" applyProtection="1">
      <protection hidden="1"/>
    </xf>
    <xf numFmtId="168" fontId="0" fillId="6" borderId="0" xfId="0" applyNumberFormat="1" applyFill="1" applyAlignment="1" applyProtection="1">
      <alignment horizontal="center"/>
      <protection hidden="1"/>
    </xf>
    <xf numFmtId="0" fontId="0" fillId="0" borderId="0" xfId="0" applyAlignment="1" applyProtection="1">
      <alignment wrapText="1"/>
      <protection hidden="1"/>
    </xf>
    <xf numFmtId="172" fontId="0" fillId="6" borderId="0" xfId="3" applyNumberFormat="1" applyFont="1" applyFill="1" applyAlignment="1" applyProtection="1">
      <alignment horizontal="center"/>
      <protection hidden="1"/>
    </xf>
    <xf numFmtId="2" fontId="0" fillId="6" borderId="0" xfId="0" applyNumberFormat="1" applyFill="1" applyAlignment="1" applyProtection="1">
      <alignment horizontal="center"/>
      <protection hidden="1"/>
    </xf>
    <xf numFmtId="0" fontId="0" fillId="0" borderId="0" xfId="0" applyAlignment="1" applyProtection="1">
      <alignment horizontal="left"/>
      <protection hidden="1"/>
    </xf>
    <xf numFmtId="0" fontId="0" fillId="3" borderId="7" xfId="0" applyFill="1" applyBorder="1" applyAlignment="1" applyProtection="1">
      <alignment horizontal="center"/>
      <protection hidden="1"/>
    </xf>
    <xf numFmtId="0" fontId="0" fillId="3" borderId="0" xfId="0" applyFill="1" applyProtection="1">
      <protection hidden="1"/>
    </xf>
    <xf numFmtId="0" fontId="2" fillId="4" borderId="0" xfId="0" applyFont="1" applyFill="1" applyProtection="1">
      <protection hidden="1"/>
    </xf>
    <xf numFmtId="0" fontId="2" fillId="4" borderId="0" xfId="0" applyFont="1" applyFill="1" applyAlignment="1" applyProtection="1">
      <alignment horizontal="center" wrapText="1"/>
      <protection hidden="1"/>
    </xf>
    <xf numFmtId="0" fontId="2" fillId="4" borderId="9" xfId="0" applyFont="1" applyFill="1" applyBorder="1" applyAlignment="1" applyProtection="1">
      <alignment horizontal="center" wrapText="1"/>
      <protection hidden="1"/>
    </xf>
    <xf numFmtId="1" fontId="0" fillId="4" borderId="0" xfId="0" applyNumberFormat="1" applyFill="1" applyAlignment="1" applyProtection="1">
      <alignment horizontal="center"/>
      <protection hidden="1"/>
    </xf>
    <xf numFmtId="1" fontId="0" fillId="7" borderId="0" xfId="0" applyNumberFormat="1" applyFill="1" applyAlignment="1" applyProtection="1">
      <alignment horizontal="center"/>
      <protection hidden="1"/>
    </xf>
    <xf numFmtId="168" fontId="0" fillId="4" borderId="0" xfId="0" applyNumberFormat="1" applyFill="1" applyAlignment="1" applyProtection="1">
      <alignment horizontal="center"/>
      <protection hidden="1"/>
    </xf>
    <xf numFmtId="1" fontId="0" fillId="6" borderId="0" xfId="0" applyNumberFormat="1" applyFill="1" applyAlignment="1" applyProtection="1">
      <alignment horizontal="center" vertical="center"/>
      <protection hidden="1"/>
    </xf>
    <xf numFmtId="0" fontId="0" fillId="6" borderId="0" xfId="0" applyFill="1" applyAlignment="1" applyProtection="1">
      <alignment horizontal="center" vertical="center"/>
      <protection hidden="1"/>
    </xf>
    <xf numFmtId="0" fontId="0" fillId="6" borderId="0" xfId="0" applyFill="1" applyProtection="1">
      <protection hidden="1"/>
    </xf>
    <xf numFmtId="0" fontId="0" fillId="6" borderId="0" xfId="0" applyFill="1" applyAlignment="1" applyProtection="1">
      <alignment horizontal="center"/>
      <protection hidden="1"/>
    </xf>
    <xf numFmtId="0" fontId="2" fillId="6" borderId="38" xfId="0" applyFont="1" applyFill="1" applyBorder="1" applyAlignment="1" applyProtection="1">
      <alignment vertical="center" wrapText="1"/>
      <protection hidden="1"/>
    </xf>
    <xf numFmtId="173" fontId="2" fillId="6" borderId="35" xfId="0" applyNumberFormat="1" applyFont="1" applyFill="1" applyBorder="1" applyAlignment="1" applyProtection="1">
      <alignment horizontal="center" vertical="center"/>
      <protection hidden="1"/>
    </xf>
    <xf numFmtId="173" fontId="2" fillId="6" borderId="36" xfId="0" applyNumberFormat="1" applyFont="1" applyFill="1" applyBorder="1" applyAlignment="1" applyProtection="1">
      <alignment horizontal="center" vertical="center"/>
      <protection hidden="1"/>
    </xf>
    <xf numFmtId="0" fontId="2" fillId="0" borderId="0" xfId="0" applyFont="1" applyAlignment="1" applyProtection="1">
      <alignment horizontal="center"/>
      <protection hidden="1"/>
    </xf>
    <xf numFmtId="168" fontId="0" fillId="9" borderId="7" xfId="0" applyNumberFormat="1" applyFill="1" applyBorder="1" applyAlignment="1" applyProtection="1">
      <alignment horizontal="center"/>
      <protection hidden="1"/>
    </xf>
    <xf numFmtId="3" fontId="0" fillId="6" borderId="0" xfId="0" applyNumberFormat="1" applyFill="1" applyAlignment="1" applyProtection="1">
      <alignment horizontal="center"/>
      <protection hidden="1"/>
    </xf>
    <xf numFmtId="0" fontId="0" fillId="0" borderId="0" xfId="0" applyAlignment="1" applyProtection="1">
      <alignment horizontal="center"/>
      <protection hidden="1"/>
    </xf>
    <xf numFmtId="0" fontId="2" fillId="0" borderId="7" xfId="0" applyFont="1" applyBorder="1" applyAlignment="1" applyProtection="1">
      <alignment wrapText="1"/>
      <protection hidden="1"/>
    </xf>
    <xf numFmtId="173" fontId="2" fillId="6" borderId="7" xfId="2" applyNumberFormat="1" applyFont="1" applyFill="1" applyBorder="1" applyAlignment="1" applyProtection="1">
      <alignment horizontal="center" vertical="center"/>
      <protection hidden="1"/>
    </xf>
    <xf numFmtId="9" fontId="0" fillId="9" borderId="7" xfId="3" applyFont="1" applyFill="1" applyBorder="1" applyAlignment="1" applyProtection="1">
      <alignment horizontal="center"/>
      <protection hidden="1"/>
    </xf>
    <xf numFmtId="0" fontId="8" fillId="0" borderId="0" xfId="0" applyFont="1" applyProtection="1">
      <protection hidden="1"/>
    </xf>
    <xf numFmtId="10" fontId="0" fillId="9" borderId="7" xfId="3" applyNumberFormat="1" applyFont="1" applyFill="1" applyBorder="1" applyAlignment="1" applyProtection="1">
      <alignment horizontal="center"/>
      <protection hidden="1"/>
    </xf>
    <xf numFmtId="9" fontId="0" fillId="0" borderId="0" xfId="3" applyFont="1" applyProtection="1">
      <protection hidden="1"/>
    </xf>
    <xf numFmtId="0" fontId="2" fillId="0" borderId="0" xfId="0" applyFont="1" applyProtection="1">
      <protection hidden="1"/>
    </xf>
    <xf numFmtId="0" fontId="0" fillId="14" borderId="0" xfId="0" applyFill="1" applyAlignment="1" applyProtection="1">
      <alignment horizontal="center"/>
      <protection hidden="1"/>
    </xf>
    <xf numFmtId="0" fontId="7" fillId="14" borderId="7" xfId="0" applyFont="1" applyFill="1" applyBorder="1" applyAlignment="1" applyProtection="1">
      <alignment horizontal="center" vertical="center"/>
      <protection hidden="1"/>
    </xf>
    <xf numFmtId="0" fontId="6" fillId="0" borderId="0" xfId="0" applyFont="1" applyProtection="1">
      <protection hidden="1"/>
    </xf>
    <xf numFmtId="0" fontId="21" fillId="0" borderId="0" xfId="0" applyFont="1" applyProtection="1">
      <protection hidden="1"/>
    </xf>
    <xf numFmtId="0" fontId="0" fillId="0" borderId="0" xfId="0" applyAlignment="1" applyProtection="1">
      <alignment vertical="center"/>
      <protection hidden="1"/>
    </xf>
    <xf numFmtId="0" fontId="0" fillId="9" borderId="0" xfId="0" applyFill="1" applyProtection="1">
      <protection hidden="1"/>
    </xf>
    <xf numFmtId="0" fontId="2" fillId="9" borderId="0" xfId="0" applyFont="1" applyFill="1" applyAlignment="1" applyProtection="1">
      <alignment horizontal="center" wrapText="1"/>
      <protection hidden="1"/>
    </xf>
    <xf numFmtId="0" fontId="0" fillId="9" borderId="0" xfId="0" applyFill="1" applyAlignment="1" applyProtection="1">
      <alignment horizontal="center"/>
      <protection hidden="1"/>
    </xf>
    <xf numFmtId="0" fontId="0" fillId="4" borderId="0" xfId="0" applyFill="1" applyAlignment="1" applyProtection="1">
      <alignment horizontal="center"/>
      <protection hidden="1"/>
    </xf>
    <xf numFmtId="0" fontId="0" fillId="9" borderId="0" xfId="0" applyFill="1" applyAlignment="1" applyProtection="1">
      <alignment horizontal="center" wrapText="1"/>
      <protection hidden="1"/>
    </xf>
    <xf numFmtId="3" fontId="0" fillId="0" borderId="0" xfId="0" applyNumberFormat="1" applyAlignment="1" applyProtection="1">
      <alignment horizontal="center"/>
      <protection hidden="1"/>
    </xf>
    <xf numFmtId="0" fontId="5" fillId="0" borderId="0" xfId="0" applyFont="1" applyProtection="1">
      <protection hidden="1"/>
    </xf>
    <xf numFmtId="1" fontId="0" fillId="6" borderId="0" xfId="0" applyNumberFormat="1" applyFill="1" applyProtection="1">
      <protection hidden="1"/>
    </xf>
    <xf numFmtId="0" fontId="10" fillId="0" borderId="0" xfId="0" applyFont="1" applyProtection="1">
      <protection hidden="1"/>
    </xf>
    <xf numFmtId="0" fontId="0" fillId="0" borderId="0" xfId="0" applyAlignment="1" applyProtection="1">
      <alignment horizontal="right"/>
      <protection hidden="1"/>
    </xf>
    <xf numFmtId="167" fontId="0" fillId="6" borderId="0" xfId="0" applyNumberFormat="1" applyFill="1" applyProtection="1">
      <protection hidden="1"/>
    </xf>
    <xf numFmtId="167" fontId="0" fillId="6" borderId="0" xfId="0" quotePrefix="1" applyNumberFormat="1" applyFill="1" applyProtection="1">
      <protection hidden="1"/>
    </xf>
    <xf numFmtId="0" fontId="2" fillId="12" borderId="0" xfId="0" applyFont="1" applyFill="1" applyProtection="1">
      <protection hidden="1"/>
    </xf>
    <xf numFmtId="9" fontId="2" fillId="0" borderId="0" xfId="0" applyNumberFormat="1" applyFont="1" applyProtection="1">
      <protection hidden="1"/>
    </xf>
    <xf numFmtId="2" fontId="0" fillId="6" borderId="0" xfId="0" applyNumberFormat="1" applyFill="1" applyProtection="1">
      <protection hidden="1"/>
    </xf>
    <xf numFmtId="2" fontId="3" fillId="6" borderId="0" xfId="0" applyNumberFormat="1" applyFont="1" applyFill="1" applyProtection="1">
      <protection hidden="1"/>
    </xf>
    <xf numFmtId="2" fontId="2" fillId="6" borderId="0" xfId="0" applyNumberFormat="1" applyFont="1" applyFill="1" applyProtection="1">
      <protection hidden="1"/>
    </xf>
    <xf numFmtId="167" fontId="2" fillId="0" borderId="0" xfId="2" applyFont="1" applyFill="1" applyProtection="1">
      <protection hidden="1"/>
    </xf>
    <xf numFmtId="167" fontId="2" fillId="12" borderId="0" xfId="2" applyFont="1" applyFill="1" applyProtection="1">
      <protection hidden="1"/>
    </xf>
    <xf numFmtId="2" fontId="2" fillId="4" borderId="0" xfId="0" applyNumberFormat="1" applyFont="1" applyFill="1" applyProtection="1">
      <protection hidden="1"/>
    </xf>
    <xf numFmtId="167" fontId="0" fillId="0" borderId="0" xfId="0" applyNumberFormat="1" applyProtection="1">
      <protection hidden="1"/>
    </xf>
    <xf numFmtId="0" fontId="0" fillId="0" borderId="9" xfId="0" applyBorder="1" applyProtection="1">
      <protection hidden="1"/>
    </xf>
    <xf numFmtId="0" fontId="2" fillId="0" borderId="9" xfId="0" applyFont="1" applyBorder="1" applyAlignment="1" applyProtection="1">
      <alignment horizontal="center"/>
      <protection hidden="1"/>
    </xf>
    <xf numFmtId="173" fontId="0" fillId="6" borderId="7" xfId="0" applyNumberFormat="1" applyFill="1" applyBorder="1" applyAlignment="1" applyProtection="1">
      <alignment horizontal="center"/>
      <protection hidden="1"/>
    </xf>
    <xf numFmtId="0" fontId="0" fillId="12" borderId="7" xfId="0" applyFill="1" applyBorder="1" applyAlignment="1" applyProtection="1">
      <alignment horizontal="center"/>
      <protection hidden="1"/>
    </xf>
    <xf numFmtId="0" fontId="6" fillId="0" borderId="9" xfId="0" applyFont="1" applyBorder="1" applyProtection="1">
      <protection hidden="1"/>
    </xf>
    <xf numFmtId="0" fontId="2" fillId="0" borderId="0" xfId="0" applyFont="1" applyAlignment="1" applyProtection="1">
      <alignment horizontal="left"/>
      <protection hidden="1"/>
    </xf>
    <xf numFmtId="0" fontId="0" fillId="18" borderId="0" xfId="0" applyFill="1" applyProtection="1">
      <protection hidden="1"/>
    </xf>
    <xf numFmtId="0" fontId="2" fillId="18" borderId="0" xfId="0" applyFont="1" applyFill="1" applyAlignment="1" applyProtection="1">
      <alignment horizontal="left"/>
      <protection hidden="1"/>
    </xf>
    <xf numFmtId="0" fontId="0" fillId="18" borderId="0" xfId="0" applyFill="1" applyAlignment="1" applyProtection="1">
      <alignment horizontal="right"/>
      <protection hidden="1"/>
    </xf>
    <xf numFmtId="0" fontId="0" fillId="0" borderId="7" xfId="0" applyBorder="1" applyAlignment="1" applyProtection="1">
      <alignment vertical="center" wrapText="1"/>
      <protection hidden="1"/>
    </xf>
    <xf numFmtId="0" fontId="0" fillId="0" borderId="7" xfId="0" applyBorder="1" applyAlignment="1" applyProtection="1">
      <alignment horizontal="left" vertical="center"/>
      <protection hidden="1"/>
    </xf>
    <xf numFmtId="3" fontId="0" fillId="6" borderId="7" xfId="0" applyNumberFormat="1" applyFill="1" applyBorder="1" applyAlignment="1" applyProtection="1">
      <alignment horizontal="center" vertical="center"/>
      <protection hidden="1"/>
    </xf>
    <xf numFmtId="0" fontId="0" fillId="0" borderId="7" xfId="0" applyBorder="1" applyAlignment="1" applyProtection="1">
      <alignment horizontal="left" vertical="center" wrapText="1"/>
      <protection hidden="1"/>
    </xf>
    <xf numFmtId="3" fontId="0" fillId="0" borderId="0" xfId="0" applyNumberFormat="1" applyAlignment="1" applyProtection="1">
      <alignment horizontal="center" vertical="center"/>
      <protection hidden="1"/>
    </xf>
    <xf numFmtId="0" fontId="0" fillId="0" borderId="0" xfId="0" applyAlignment="1" applyProtection="1">
      <alignment vertical="center" wrapText="1"/>
      <protection hidden="1"/>
    </xf>
    <xf numFmtId="0" fontId="0" fillId="0" borderId="0" xfId="0" applyAlignment="1" applyProtection="1">
      <alignment horizontal="left" vertical="center" wrapText="1"/>
      <protection hidden="1"/>
    </xf>
    <xf numFmtId="0" fontId="6" fillId="0" borderId="14" xfId="0" applyFont="1" applyBorder="1" applyProtection="1">
      <protection hidden="1"/>
    </xf>
    <xf numFmtId="0" fontId="0" fillId="0" borderId="8" xfId="0" applyBorder="1" applyProtection="1">
      <protection hidden="1"/>
    </xf>
    <xf numFmtId="2" fontId="0" fillId="6" borderId="7" xfId="0" applyNumberFormat="1" applyFill="1" applyBorder="1" applyAlignment="1" applyProtection="1">
      <alignment horizontal="center"/>
      <protection hidden="1"/>
    </xf>
    <xf numFmtId="173" fontId="0" fillId="6" borderId="7" xfId="2" applyNumberFormat="1" applyFont="1" applyFill="1" applyBorder="1" applyAlignment="1" applyProtection="1">
      <alignment horizontal="center"/>
      <protection hidden="1"/>
    </xf>
    <xf numFmtId="9" fontId="0" fillId="6" borderId="7" xfId="0" applyNumberFormat="1" applyFill="1" applyBorder="1" applyAlignment="1" applyProtection="1">
      <alignment horizontal="center"/>
      <protection hidden="1"/>
    </xf>
    <xf numFmtId="0" fontId="0" fillId="0" borderId="15" xfId="0" applyBorder="1" applyProtection="1">
      <protection hidden="1"/>
    </xf>
    <xf numFmtId="0" fontId="0" fillId="0" borderId="0" xfId="0" applyAlignment="1" applyProtection="1">
      <alignment horizontal="center" wrapText="1"/>
      <protection hidden="1"/>
    </xf>
    <xf numFmtId="172" fontId="0" fillId="6" borderId="7" xfId="3" applyNumberFormat="1" applyFont="1" applyFill="1" applyBorder="1" applyAlignment="1" applyProtection="1">
      <alignment horizontal="center"/>
      <protection hidden="1"/>
    </xf>
    <xf numFmtId="173" fontId="0" fillId="6" borderId="29" xfId="2" applyNumberFormat="1" applyFont="1" applyFill="1" applyBorder="1" applyAlignment="1" applyProtection="1">
      <alignment horizontal="center"/>
      <protection hidden="1"/>
    </xf>
    <xf numFmtId="0" fontId="2" fillId="0" borderId="14" xfId="0" applyFont="1" applyBorder="1" applyProtection="1">
      <protection hidden="1"/>
    </xf>
    <xf numFmtId="173" fontId="2" fillId="6" borderId="35" xfId="2" applyNumberFormat="1" applyFont="1" applyFill="1" applyBorder="1" applyAlignment="1" applyProtection="1">
      <alignment horizontal="center"/>
      <protection hidden="1"/>
    </xf>
    <xf numFmtId="0" fontId="2" fillId="0" borderId="8" xfId="0" applyFont="1" applyBorder="1" applyProtection="1">
      <protection hidden="1"/>
    </xf>
    <xf numFmtId="172" fontId="0" fillId="6" borderId="36" xfId="3" applyNumberFormat="1" applyFont="1" applyFill="1" applyBorder="1" applyAlignment="1" applyProtection="1">
      <alignment horizontal="center"/>
      <protection hidden="1"/>
    </xf>
    <xf numFmtId="168" fontId="0" fillId="0" borderId="0" xfId="0" applyNumberFormat="1" applyProtection="1">
      <protection hidden="1"/>
    </xf>
    <xf numFmtId="175" fontId="0" fillId="6" borderId="10" xfId="2" applyNumberFormat="1" applyFont="1" applyFill="1" applyBorder="1" applyAlignment="1" applyProtection="1">
      <alignment horizontal="center"/>
      <protection hidden="1"/>
    </xf>
    <xf numFmtId="0" fontId="44" fillId="0" borderId="0" xfId="0" applyFont="1" applyProtection="1">
      <protection hidden="1"/>
    </xf>
    <xf numFmtId="169" fontId="0" fillId="0" borderId="0" xfId="2" applyNumberFormat="1" applyFont="1" applyProtection="1">
      <protection hidden="1"/>
    </xf>
    <xf numFmtId="0" fontId="30" fillId="16" borderId="0" xfId="0" applyFont="1" applyFill="1" applyProtection="1">
      <protection hidden="1"/>
    </xf>
    <xf numFmtId="0" fontId="19" fillId="16" borderId="0" xfId="0" applyFont="1" applyFill="1" applyProtection="1">
      <protection hidden="1"/>
    </xf>
    <xf numFmtId="0" fontId="22" fillId="16" borderId="0" xfId="0" applyFont="1" applyFill="1" applyProtection="1">
      <protection hidden="1"/>
    </xf>
    <xf numFmtId="0" fontId="16" fillId="0" borderId="0" xfId="0" applyFont="1" applyProtection="1">
      <protection hidden="1"/>
    </xf>
    <xf numFmtId="3" fontId="0" fillId="6" borderId="7" xfId="2" applyNumberFormat="1" applyFont="1" applyFill="1" applyBorder="1" applyAlignment="1" applyProtection="1">
      <alignment horizontal="center" vertical="center"/>
      <protection hidden="1"/>
    </xf>
    <xf numFmtId="3" fontId="0" fillId="0" borderId="0" xfId="0" applyNumberFormat="1" applyProtection="1">
      <protection hidden="1"/>
    </xf>
    <xf numFmtId="0" fontId="30" fillId="13" borderId="0" xfId="0" applyFont="1" applyFill="1" applyProtection="1">
      <protection hidden="1"/>
    </xf>
    <xf numFmtId="3" fontId="0" fillId="2" borderId="7" xfId="2" applyNumberFormat="1" applyFont="1" applyFill="1" applyBorder="1" applyAlignment="1" applyProtection="1">
      <alignment horizontal="center" vertical="center"/>
      <protection locked="0" hidden="1"/>
    </xf>
    <xf numFmtId="9" fontId="0" fillId="2" borderId="7" xfId="3" applyFont="1" applyFill="1" applyBorder="1" applyAlignment="1" applyProtection="1">
      <alignment horizontal="center" vertical="center"/>
      <protection locked="0" hidden="1"/>
    </xf>
    <xf numFmtId="166" fontId="0" fillId="0" borderId="0" xfId="0" applyNumberFormat="1" applyProtection="1">
      <protection hidden="1"/>
    </xf>
    <xf numFmtId="169" fontId="0" fillId="0" borderId="0" xfId="0" applyNumberFormat="1" applyProtection="1">
      <protection hidden="1"/>
    </xf>
    <xf numFmtId="0" fontId="23" fillId="0" borderId="0" xfId="0" applyFont="1" applyAlignment="1" applyProtection="1">
      <alignment horizontal="left" indent="10"/>
      <protection hidden="1"/>
    </xf>
    <xf numFmtId="0" fontId="0" fillId="0" borderId="0" xfId="0" applyAlignment="1" applyProtection="1">
      <alignment horizontal="left" indent="2"/>
      <protection hidden="1"/>
    </xf>
    <xf numFmtId="0" fontId="24" fillId="5" borderId="0" xfId="0" applyFont="1" applyFill="1" applyAlignment="1" applyProtection="1">
      <alignment horizontal="left" vertical="top"/>
      <protection hidden="1"/>
    </xf>
    <xf numFmtId="0" fontId="4" fillId="0" borderId="0" xfId="1" applyProtection="1">
      <protection hidden="1"/>
    </xf>
    <xf numFmtId="0" fontId="0" fillId="4" borderId="1" xfId="0" applyFill="1" applyBorder="1" applyProtection="1">
      <protection hidden="1"/>
    </xf>
    <xf numFmtId="0" fontId="34" fillId="4" borderId="32" xfId="0" applyFont="1" applyFill="1" applyBorder="1" applyAlignment="1" applyProtection="1">
      <alignment horizontal="left" vertical="center" indent="5"/>
      <protection hidden="1"/>
    </xf>
    <xf numFmtId="0" fontId="0" fillId="4" borderId="32" xfId="0" applyFill="1" applyBorder="1" applyProtection="1">
      <protection hidden="1"/>
    </xf>
    <xf numFmtId="0" fontId="0" fillId="4" borderId="2" xfId="0" applyFill="1" applyBorder="1" applyProtection="1">
      <protection hidden="1"/>
    </xf>
    <xf numFmtId="0" fontId="0" fillId="0" borderId="3" xfId="0" applyBorder="1" applyProtection="1">
      <protection hidden="1"/>
    </xf>
    <xf numFmtId="0" fontId="0" fillId="0" borderId="4" xfId="0" applyBorder="1" applyProtection="1">
      <protection hidden="1"/>
    </xf>
    <xf numFmtId="3" fontId="0" fillId="9" borderId="7" xfId="0" applyNumberFormat="1" applyFill="1" applyBorder="1" applyAlignment="1" applyProtection="1">
      <alignment horizontal="center"/>
      <protection hidden="1"/>
    </xf>
    <xf numFmtId="0" fontId="0" fillId="0" borderId="5" xfId="0" applyBorder="1" applyProtection="1">
      <protection hidden="1"/>
    </xf>
    <xf numFmtId="0" fontId="0" fillId="0" borderId="12" xfId="0" applyBorder="1" applyProtection="1">
      <protection hidden="1"/>
    </xf>
    <xf numFmtId="0" fontId="0" fillId="0" borderId="12" xfId="0" applyBorder="1" applyAlignment="1" applyProtection="1">
      <alignment horizontal="center"/>
      <protection hidden="1"/>
    </xf>
    <xf numFmtId="0" fontId="0" fillId="0" borderId="6" xfId="0" applyBorder="1" applyProtection="1">
      <protection hidden="1"/>
    </xf>
    <xf numFmtId="0" fontId="31" fillId="4" borderId="32" xfId="0" applyFont="1" applyFill="1" applyBorder="1" applyAlignment="1" applyProtection="1">
      <alignment horizontal="left" vertical="center"/>
      <protection hidden="1"/>
    </xf>
    <xf numFmtId="0" fontId="24" fillId="15" borderId="0" xfId="0" applyFont="1" applyFill="1" applyProtection="1">
      <protection hidden="1"/>
    </xf>
    <xf numFmtId="0" fontId="2" fillId="0" borderId="9" xfId="0" applyFont="1" applyBorder="1" applyAlignment="1" applyProtection="1">
      <alignment horizontal="left"/>
      <protection hidden="1"/>
    </xf>
    <xf numFmtId="0" fontId="0" fillId="14" borderId="0" xfId="0" applyFill="1" applyProtection="1">
      <protection hidden="1"/>
    </xf>
    <xf numFmtId="9" fontId="0" fillId="2" borderId="7" xfId="3" applyFont="1" applyFill="1" applyBorder="1" applyAlignment="1" applyProtection="1">
      <alignment horizontal="center"/>
      <protection locked="0" hidden="1"/>
    </xf>
    <xf numFmtId="0" fontId="4" fillId="8" borderId="22" xfId="1" applyFill="1" applyBorder="1" applyAlignment="1" applyProtection="1">
      <alignment vertical="center"/>
      <protection hidden="1"/>
    </xf>
    <xf numFmtId="0" fontId="4" fillId="14" borderId="0" xfId="1" applyFill="1" applyProtection="1">
      <protection hidden="1"/>
    </xf>
    <xf numFmtId="0" fontId="0" fillId="0" borderId="17" xfId="0" applyBorder="1" applyProtection="1">
      <protection hidden="1"/>
    </xf>
    <xf numFmtId="171" fontId="17" fillId="8" borderId="13" xfId="4" applyNumberFormat="1" applyFont="1" applyFill="1" applyBorder="1" applyAlignment="1" applyProtection="1">
      <alignment horizontal="center" vertical="center"/>
      <protection locked="0" hidden="1"/>
    </xf>
    <xf numFmtId="0" fontId="41" fillId="0" borderId="0" xfId="0" applyFont="1" applyProtection="1">
      <protection hidden="1"/>
    </xf>
    <xf numFmtId="0" fontId="31" fillId="4" borderId="1" xfId="0" applyFont="1" applyFill="1" applyBorder="1" applyProtection="1">
      <protection hidden="1"/>
    </xf>
    <xf numFmtId="0" fontId="31" fillId="4" borderId="32" xfId="0" applyFont="1" applyFill="1" applyBorder="1" applyProtection="1">
      <protection hidden="1"/>
    </xf>
    <xf numFmtId="0" fontId="4" fillId="4" borderId="32" xfId="1" applyFill="1" applyBorder="1" applyProtection="1">
      <protection hidden="1"/>
    </xf>
    <xf numFmtId="0" fontId="4" fillId="4" borderId="2" xfId="1" applyFill="1" applyBorder="1" applyProtection="1">
      <protection hidden="1"/>
    </xf>
    <xf numFmtId="0" fontId="24" fillId="5" borderId="0" xfId="0" applyFont="1" applyFill="1" applyProtection="1">
      <protection hidden="1"/>
    </xf>
    <xf numFmtId="0" fontId="0" fillId="2" borderId="7" xfId="0" applyFill="1" applyBorder="1" applyAlignment="1" applyProtection="1">
      <alignment horizontal="center" vertical="center"/>
      <protection locked="0" hidden="1"/>
    </xf>
    <xf numFmtId="0" fontId="0" fillId="8" borderId="22" xfId="0" applyFill="1" applyBorder="1" applyAlignment="1" applyProtection="1">
      <alignment vertical="center"/>
      <protection hidden="1"/>
    </xf>
    <xf numFmtId="0" fontId="1" fillId="0" borderId="0" xfId="0" applyFont="1" applyProtection="1">
      <protection hidden="1"/>
    </xf>
    <xf numFmtId="0" fontId="0" fillId="14" borderId="16" xfId="0" applyFill="1" applyBorder="1" applyAlignment="1" applyProtection="1">
      <alignment horizontal="left" vertical="top"/>
      <protection hidden="1"/>
    </xf>
    <xf numFmtId="0" fontId="0" fillId="14" borderId="0" xfId="0" applyFill="1" applyAlignment="1" applyProtection="1">
      <alignment horizontal="left" vertical="top"/>
      <protection hidden="1"/>
    </xf>
    <xf numFmtId="0" fontId="4" fillId="0" borderId="0" xfId="1" applyBorder="1" applyProtection="1">
      <protection hidden="1"/>
    </xf>
    <xf numFmtId="0" fontId="32" fillId="0" borderId="0" xfId="0" applyFont="1" applyProtection="1">
      <protection hidden="1"/>
    </xf>
    <xf numFmtId="9" fontId="33" fillId="0" borderId="0" xfId="3" applyFont="1" applyBorder="1" applyAlignment="1" applyProtection="1">
      <alignment horizontal="left"/>
      <protection hidden="1"/>
    </xf>
    <xf numFmtId="173" fontId="32" fillId="9" borderId="7" xfId="0" applyNumberFormat="1" applyFont="1" applyFill="1" applyBorder="1" applyAlignment="1" applyProtection="1">
      <alignment horizontal="center"/>
      <protection hidden="1"/>
    </xf>
    <xf numFmtId="0" fontId="2" fillId="6" borderId="0" xfId="0" applyFont="1" applyFill="1" applyProtection="1">
      <protection hidden="1"/>
    </xf>
    <xf numFmtId="0" fontId="38" fillId="6" borderId="0" xfId="0" applyFont="1" applyFill="1" applyProtection="1">
      <protection hidden="1"/>
    </xf>
    <xf numFmtId="0" fontId="4" fillId="6" borderId="0" xfId="1" applyFill="1" applyBorder="1" applyAlignment="1" applyProtection="1">
      <alignment horizontal="left" indent="2"/>
      <protection hidden="1"/>
    </xf>
    <xf numFmtId="0" fontId="4" fillId="6" borderId="0" xfId="1" applyFill="1" applyBorder="1" applyProtection="1">
      <protection hidden="1"/>
    </xf>
    <xf numFmtId="0" fontId="2" fillId="0" borderId="1" xfId="0" applyFont="1" applyBorder="1" applyProtection="1">
      <protection hidden="1"/>
    </xf>
    <xf numFmtId="0" fontId="0" fillId="0" borderId="32" xfId="0" applyBorder="1" applyProtection="1">
      <protection hidden="1"/>
    </xf>
    <xf numFmtId="0" fontId="0" fillId="0" borderId="2" xfId="0" applyBorder="1" applyProtection="1">
      <protection hidden="1"/>
    </xf>
    <xf numFmtId="0" fontId="2" fillId="0" borderId="3" xfId="0" applyFont="1" applyBorder="1" applyProtection="1">
      <protection hidden="1"/>
    </xf>
    <xf numFmtId="0" fontId="2" fillId="0" borderId="9" xfId="0" applyFont="1" applyBorder="1" applyAlignment="1" applyProtection="1">
      <alignment horizontal="center" wrapText="1"/>
      <protection hidden="1"/>
    </xf>
    <xf numFmtId="0" fontId="0" fillId="2" borderId="7" xfId="0" applyFill="1" applyBorder="1" applyAlignment="1" applyProtection="1">
      <alignment horizontal="center"/>
      <protection locked="0" hidden="1"/>
    </xf>
    <xf numFmtId="168" fontId="3" fillId="2" borderId="7" xfId="0" applyNumberFormat="1" applyFont="1" applyFill="1" applyBorder="1" applyAlignment="1" applyProtection="1">
      <alignment horizontal="center"/>
      <protection locked="0" hidden="1"/>
    </xf>
    <xf numFmtId="0" fontId="2" fillId="0" borderId="5" xfId="0" applyFont="1" applyBorder="1" applyProtection="1">
      <protection hidden="1"/>
    </xf>
    <xf numFmtId="0" fontId="46" fillId="0" borderId="0" xfId="0" applyFont="1" applyProtection="1">
      <protection hidden="1"/>
    </xf>
    <xf numFmtId="0" fontId="31" fillId="0" borderId="0" xfId="0" applyFont="1" applyProtection="1">
      <protection hidden="1"/>
    </xf>
    <xf numFmtId="0" fontId="4" fillId="0" borderId="0" xfId="1" applyFill="1" applyBorder="1" applyProtection="1">
      <protection hidden="1"/>
    </xf>
    <xf numFmtId="0" fontId="2" fillId="0" borderId="0" xfId="0" applyFont="1" applyAlignment="1" applyProtection="1">
      <alignment wrapText="1"/>
      <protection hidden="1"/>
    </xf>
    <xf numFmtId="173" fontId="0" fillId="12" borderId="31" xfId="0" applyNumberFormat="1" applyFill="1" applyBorder="1" applyAlignment="1" applyProtection="1">
      <alignment horizontal="center" vertical="center"/>
      <protection hidden="1"/>
    </xf>
    <xf numFmtId="1" fontId="0" fillId="9" borderId="7" xfId="0" applyNumberFormat="1" applyFill="1" applyBorder="1" applyAlignment="1" applyProtection="1">
      <alignment horizontal="center" vertical="center"/>
      <protection hidden="1"/>
    </xf>
    <xf numFmtId="0" fontId="0" fillId="0" borderId="0" xfId="0" applyAlignment="1" applyProtection="1">
      <alignment horizontal="left" vertical="center"/>
      <protection hidden="1"/>
    </xf>
    <xf numFmtId="9" fontId="0" fillId="6" borderId="7" xfId="3" applyFont="1" applyFill="1" applyBorder="1" applyAlignment="1" applyProtection="1">
      <alignment horizontal="center" vertical="center"/>
      <protection hidden="1"/>
    </xf>
    <xf numFmtId="0" fontId="20" fillId="0" borderId="0" xfId="0" applyFont="1" applyAlignment="1" applyProtection="1">
      <alignment horizontal="left"/>
      <protection hidden="1"/>
    </xf>
    <xf numFmtId="0" fontId="2" fillId="0" borderId="12" xfId="0" applyFont="1" applyBorder="1" applyProtection="1">
      <protection hidden="1"/>
    </xf>
    <xf numFmtId="0" fontId="4" fillId="0" borderId="12" xfId="1" applyBorder="1" applyProtection="1">
      <protection hidden="1"/>
    </xf>
    <xf numFmtId="0" fontId="24" fillId="0" borderId="0" xfId="0" applyFont="1" applyProtection="1">
      <protection hidden="1"/>
    </xf>
    <xf numFmtId="0" fontId="2" fillId="4" borderId="9" xfId="0" applyFont="1" applyFill="1" applyBorder="1" applyAlignment="1" applyProtection="1">
      <alignment horizontal="left"/>
      <protection hidden="1"/>
    </xf>
    <xf numFmtId="0" fontId="2" fillId="4" borderId="9" xfId="0" applyFont="1" applyFill="1" applyBorder="1" applyAlignment="1" applyProtection="1">
      <alignment horizontal="center"/>
      <protection hidden="1"/>
    </xf>
    <xf numFmtId="0" fontId="24" fillId="5" borderId="9" xfId="0" applyFont="1" applyFill="1" applyBorder="1" applyProtection="1">
      <protection hidden="1"/>
    </xf>
    <xf numFmtId="171" fontId="17" fillId="8" borderId="13" xfId="4" applyNumberFormat="1" applyFont="1" applyFill="1" applyBorder="1" applyAlignment="1" applyProtection="1">
      <alignment horizontal="left" vertical="center"/>
      <protection locked="0" hidden="1"/>
    </xf>
    <xf numFmtId="1" fontId="0" fillId="2" borderId="7" xfId="0" applyNumberFormat="1" applyFill="1" applyBorder="1" applyAlignment="1" applyProtection="1">
      <alignment horizontal="center"/>
      <protection locked="0" hidden="1"/>
    </xf>
    <xf numFmtId="0" fontId="0" fillId="14" borderId="31" xfId="0" applyFill="1" applyBorder="1" applyAlignment="1" applyProtection="1">
      <alignment horizontal="left" vertical="top"/>
      <protection hidden="1"/>
    </xf>
    <xf numFmtId="0" fontId="0" fillId="14" borderId="33" xfId="0" applyFill="1" applyBorder="1" applyAlignment="1" applyProtection="1">
      <alignment horizontal="left" vertical="top"/>
      <protection hidden="1"/>
    </xf>
    <xf numFmtId="0" fontId="0" fillId="14" borderId="28" xfId="0" applyFill="1" applyBorder="1" applyAlignment="1" applyProtection="1">
      <alignment horizontal="left" vertical="top"/>
      <protection hidden="1"/>
    </xf>
    <xf numFmtId="0" fontId="23" fillId="0" borderId="0" xfId="0" applyFont="1" applyAlignment="1" applyProtection="1">
      <alignment horizontal="left"/>
      <protection hidden="1"/>
    </xf>
    <xf numFmtId="0" fontId="0" fillId="0" borderId="11" xfId="0" applyBorder="1" applyAlignment="1" applyProtection="1">
      <alignment horizontal="center"/>
      <protection hidden="1"/>
    </xf>
    <xf numFmtId="0" fontId="0" fillId="0" borderId="1" xfId="0" applyBorder="1" applyProtection="1">
      <protection hidden="1"/>
    </xf>
    <xf numFmtId="0" fontId="2" fillId="4" borderId="0" xfId="0" applyFont="1" applyFill="1" applyAlignment="1" applyProtection="1">
      <alignment horizontal="center"/>
      <protection hidden="1"/>
    </xf>
    <xf numFmtId="0" fontId="0" fillId="4" borderId="0" xfId="0" applyFill="1" applyProtection="1">
      <protection hidden="1"/>
    </xf>
    <xf numFmtId="0" fontId="2" fillId="4" borderId="11" xfId="0" applyFont="1" applyFill="1" applyBorder="1" applyAlignment="1" applyProtection="1">
      <alignment horizontal="center" wrapText="1"/>
      <protection hidden="1"/>
    </xf>
    <xf numFmtId="0" fontId="0" fillId="2" borderId="7" xfId="0" applyFill="1" applyBorder="1" applyProtection="1">
      <protection locked="0" hidden="1"/>
    </xf>
    <xf numFmtId="3" fontId="0" fillId="2" borderId="7" xfId="0" applyNumberFormat="1" applyFill="1" applyBorder="1" applyAlignment="1" applyProtection="1">
      <alignment horizontal="center"/>
      <protection locked="0" hidden="1"/>
    </xf>
    <xf numFmtId="3" fontId="0" fillId="0" borderId="11" xfId="0" applyNumberFormat="1" applyBorder="1" applyAlignment="1" applyProtection="1">
      <alignment horizontal="center"/>
      <protection hidden="1"/>
    </xf>
    <xf numFmtId="0" fontId="0" fillId="0" borderId="4" xfId="0" applyBorder="1" applyAlignment="1" applyProtection="1">
      <alignment horizontal="center"/>
      <protection hidden="1"/>
    </xf>
    <xf numFmtId="0" fontId="0" fillId="0" borderId="14" xfId="0" applyBorder="1" applyProtection="1">
      <protection hidden="1"/>
    </xf>
    <xf numFmtId="173" fontId="0" fillId="9" borderId="35" xfId="0" applyNumberFormat="1" applyFill="1" applyBorder="1" applyAlignment="1" applyProtection="1">
      <alignment horizontal="center"/>
      <protection hidden="1"/>
    </xf>
    <xf numFmtId="0" fontId="0" fillId="0" borderId="8" xfId="0" applyBorder="1" applyAlignment="1" applyProtection="1">
      <alignment horizontal="center"/>
      <protection hidden="1"/>
    </xf>
    <xf numFmtId="173" fontId="0" fillId="9" borderId="36" xfId="0" applyNumberFormat="1" applyFill="1" applyBorder="1" applyAlignment="1" applyProtection="1">
      <alignment horizontal="center"/>
      <protection hidden="1"/>
    </xf>
    <xf numFmtId="173" fontId="0" fillId="9" borderId="7" xfId="0" applyNumberFormat="1" applyFill="1" applyBorder="1" applyAlignment="1" applyProtection="1">
      <alignment horizontal="center"/>
      <protection hidden="1"/>
    </xf>
    <xf numFmtId="174" fontId="0" fillId="9" borderId="7" xfId="0" applyNumberFormat="1" applyFill="1" applyBorder="1" applyAlignment="1" applyProtection="1">
      <alignment horizontal="center"/>
      <protection hidden="1"/>
    </xf>
    <xf numFmtId="173" fontId="0" fillId="0" borderId="0" xfId="0" applyNumberFormat="1" applyAlignment="1" applyProtection="1">
      <alignment horizontal="center"/>
      <protection hidden="1"/>
    </xf>
    <xf numFmtId="0" fontId="6" fillId="0" borderId="0" xfId="0" applyFont="1" applyAlignment="1" applyProtection="1">
      <alignment horizontal="right"/>
      <protection hidden="1"/>
    </xf>
    <xf numFmtId="173" fontId="0" fillId="12" borderId="7" xfId="0" applyNumberFormat="1" applyFill="1" applyBorder="1" applyAlignment="1" applyProtection="1">
      <alignment horizontal="center"/>
      <protection hidden="1"/>
    </xf>
    <xf numFmtId="0" fontId="0" fillId="0" borderId="0" xfId="0" applyAlignment="1" applyProtection="1">
      <alignment horizontal="center" vertical="center"/>
      <protection hidden="1"/>
    </xf>
    <xf numFmtId="9" fontId="6" fillId="12" borderId="31" xfId="3" applyFont="1" applyFill="1" applyBorder="1" applyAlignment="1" applyProtection="1">
      <alignment horizontal="center" vertical="center"/>
      <protection hidden="1"/>
    </xf>
    <xf numFmtId="9" fontId="14" fillId="9" borderId="7" xfId="3" applyFont="1" applyFill="1" applyBorder="1" applyAlignment="1" applyProtection="1">
      <alignment horizontal="center" vertical="center"/>
      <protection hidden="1"/>
    </xf>
    <xf numFmtId="0" fontId="2" fillId="0" borderId="9" xfId="0" applyFont="1" applyBorder="1" applyAlignment="1" applyProtection="1">
      <alignment horizontal="center" vertical="center" wrapText="1"/>
      <protection hidden="1"/>
    </xf>
    <xf numFmtId="173" fontId="0" fillId="9" borderId="7" xfId="2" applyNumberFormat="1" applyFont="1" applyFill="1" applyBorder="1" applyAlignment="1" applyProtection="1">
      <alignment horizontal="center"/>
      <protection hidden="1"/>
    </xf>
    <xf numFmtId="173" fontId="2" fillId="9" borderId="7" xfId="0" applyNumberFormat="1" applyFont="1" applyFill="1" applyBorder="1" applyAlignment="1" applyProtection="1">
      <alignment horizontal="center"/>
      <protection hidden="1"/>
    </xf>
    <xf numFmtId="9" fontId="0" fillId="12" borderId="7" xfId="0" applyNumberFormat="1" applyFill="1" applyBorder="1" applyAlignment="1" applyProtection="1">
      <alignment horizontal="center"/>
      <protection hidden="1"/>
    </xf>
    <xf numFmtId="0" fontId="23" fillId="0" borderId="0" xfId="0" applyFont="1" applyAlignment="1" applyProtection="1">
      <alignment horizontal="left" indent="9"/>
      <protection hidden="1"/>
    </xf>
    <xf numFmtId="0" fontId="18" fillId="10" borderId="31" xfId="0" applyFont="1" applyFill="1" applyBorder="1" applyAlignment="1" applyProtection="1">
      <alignment horizontal="left" vertical="center"/>
      <protection hidden="1"/>
    </xf>
    <xf numFmtId="0" fontId="18" fillId="10" borderId="33" xfId="0" applyFont="1" applyFill="1" applyBorder="1" applyAlignment="1" applyProtection="1">
      <alignment horizontal="left" vertical="center"/>
      <protection hidden="1"/>
    </xf>
    <xf numFmtId="0" fontId="2" fillId="4" borderId="7" xfId="0" applyFont="1" applyFill="1" applyBorder="1" applyAlignment="1" applyProtection="1">
      <alignment horizontal="center" vertical="center"/>
      <protection hidden="1"/>
    </xf>
    <xf numFmtId="171" fontId="17" fillId="8" borderId="34" xfId="4" applyNumberFormat="1" applyFont="1" applyFill="1" applyBorder="1" applyAlignment="1" applyProtection="1">
      <alignment horizontal="center" vertical="center"/>
      <protection locked="0" hidden="1"/>
    </xf>
    <xf numFmtId="0" fontId="0" fillId="14" borderId="18" xfId="0" applyFill="1" applyBorder="1" applyAlignment="1" applyProtection="1">
      <alignment vertical="center" wrapText="1"/>
      <protection hidden="1"/>
    </xf>
    <xf numFmtId="173" fontId="0" fillId="0" borderId="0" xfId="2" applyNumberFormat="1" applyFont="1" applyBorder="1" applyAlignment="1" applyProtection="1">
      <alignment horizontal="center"/>
      <protection hidden="1"/>
    </xf>
    <xf numFmtId="173" fontId="0" fillId="0" borderId="0" xfId="2" applyNumberFormat="1" applyFont="1" applyFill="1" applyBorder="1" applyAlignment="1" applyProtection="1">
      <alignment horizontal="center"/>
      <protection hidden="1"/>
    </xf>
    <xf numFmtId="0" fontId="4" fillId="6" borderId="0" xfId="1" applyFill="1" applyProtection="1">
      <protection hidden="1"/>
    </xf>
    <xf numFmtId="167" fontId="0" fillId="0" borderId="0" xfId="2" applyFont="1" applyProtection="1">
      <protection hidden="1"/>
    </xf>
    <xf numFmtId="2" fontId="0" fillId="0" borderId="0" xfId="0" applyNumberFormat="1" applyProtection="1">
      <protection hidden="1"/>
    </xf>
    <xf numFmtId="0" fontId="2" fillId="12" borderId="31" xfId="0" applyFont="1" applyFill="1" applyBorder="1" applyAlignment="1" applyProtection="1">
      <alignment horizontal="left"/>
      <protection hidden="1"/>
    </xf>
    <xf numFmtId="0" fontId="2" fillId="12" borderId="33" xfId="0" applyFont="1" applyFill="1" applyBorder="1" applyAlignment="1" applyProtection="1">
      <alignment horizontal="center" vertical="center" wrapText="1"/>
      <protection hidden="1"/>
    </xf>
    <xf numFmtId="0" fontId="2" fillId="12" borderId="28" xfId="0" applyFont="1" applyFill="1" applyBorder="1" applyAlignment="1" applyProtection="1">
      <alignment horizontal="center" vertical="center" wrapText="1"/>
      <protection hidden="1"/>
    </xf>
    <xf numFmtId="0" fontId="0" fillId="0" borderId="0" xfId="0" applyAlignment="1" applyProtection="1">
      <alignment horizontal="left" indent="1"/>
      <protection hidden="1"/>
    </xf>
    <xf numFmtId="173" fontId="0" fillId="6" borderId="7" xfId="2" applyNumberFormat="1" applyFont="1" applyFill="1" applyBorder="1" applyAlignment="1" applyProtection="1">
      <alignment horizontal="center" vertical="center"/>
      <protection hidden="1"/>
    </xf>
    <xf numFmtId="0" fontId="0" fillId="6" borderId="7" xfId="0" applyFill="1" applyBorder="1" applyAlignment="1" applyProtection="1">
      <alignment horizontal="center"/>
      <protection hidden="1"/>
    </xf>
    <xf numFmtId="0" fontId="0" fillId="0" borderId="7" xfId="0" applyBorder="1" applyAlignment="1" applyProtection="1">
      <alignment horizontal="left" indent="1"/>
      <protection hidden="1"/>
    </xf>
    <xf numFmtId="173" fontId="14" fillId="6" borderId="7" xfId="2" applyNumberFormat="1" applyFont="1" applyFill="1" applyBorder="1" applyAlignment="1" applyProtection="1">
      <alignment horizontal="center"/>
      <protection hidden="1"/>
    </xf>
    <xf numFmtId="0" fontId="0" fillId="0" borderId="9" xfId="0" applyBorder="1" applyAlignment="1" applyProtection="1">
      <alignment horizontal="left" indent="1"/>
      <protection hidden="1"/>
    </xf>
    <xf numFmtId="0" fontId="2" fillId="0" borderId="0" xfId="0" applyFont="1" applyAlignment="1" applyProtection="1">
      <alignment horizontal="right" indent="3"/>
      <protection hidden="1"/>
    </xf>
    <xf numFmtId="173" fontId="2" fillId="9" borderId="0" xfId="2" applyNumberFormat="1" applyFont="1" applyFill="1" applyBorder="1" applyAlignment="1" applyProtection="1">
      <alignment horizontal="center"/>
      <protection hidden="1"/>
    </xf>
    <xf numFmtId="0" fontId="2" fillId="0" borderId="12" xfId="0" applyFont="1" applyBorder="1" applyAlignment="1" applyProtection="1">
      <alignment horizontal="left" indent="3"/>
      <protection hidden="1"/>
    </xf>
    <xf numFmtId="0" fontId="2" fillId="0" borderId="0" xfId="0" applyFont="1" applyAlignment="1" applyProtection="1">
      <alignment horizontal="left" indent="3"/>
      <protection hidden="1"/>
    </xf>
    <xf numFmtId="167" fontId="0" fillId="0" borderId="0" xfId="2" applyFont="1" applyBorder="1" applyProtection="1">
      <protection hidden="1"/>
    </xf>
    <xf numFmtId="171" fontId="17" fillId="8" borderId="37" xfId="4" applyNumberFormat="1" applyFont="1" applyFill="1" applyBorder="1" applyAlignment="1" applyProtection="1">
      <alignment horizontal="center"/>
      <protection locked="0" hidden="1"/>
    </xf>
    <xf numFmtId="0" fontId="15" fillId="0" borderId="0" xfId="0" applyFont="1" applyProtection="1">
      <protection hidden="1"/>
    </xf>
    <xf numFmtId="0" fontId="0" fillId="14" borderId="18" xfId="0" applyFill="1" applyBorder="1" applyProtection="1">
      <protection hidden="1"/>
    </xf>
    <xf numFmtId="0" fontId="0" fillId="5" borderId="1" xfId="0" applyFill="1" applyBorder="1" applyProtection="1">
      <protection hidden="1"/>
    </xf>
    <xf numFmtId="0" fontId="25" fillId="5" borderId="32" xfId="0" applyFont="1" applyFill="1" applyBorder="1" applyProtection="1">
      <protection hidden="1"/>
    </xf>
    <xf numFmtId="0" fontId="0" fillId="5" borderId="32" xfId="0" applyFill="1" applyBorder="1" applyProtection="1">
      <protection hidden="1"/>
    </xf>
    <xf numFmtId="0" fontId="0" fillId="5" borderId="2" xfId="0" applyFill="1" applyBorder="1" applyProtection="1">
      <protection hidden="1"/>
    </xf>
    <xf numFmtId="0" fontId="0" fillId="14" borderId="18" xfId="0" applyFill="1" applyBorder="1" applyAlignment="1" applyProtection="1">
      <alignment wrapText="1"/>
      <protection hidden="1"/>
    </xf>
    <xf numFmtId="0" fontId="26" fillId="0" borderId="30" xfId="0" applyFont="1" applyBorder="1" applyProtection="1">
      <protection hidden="1"/>
    </xf>
    <xf numFmtId="0" fontId="0" fillId="12" borderId="29" xfId="0" applyFill="1" applyBorder="1" applyAlignment="1" applyProtection="1">
      <alignment horizontal="center" vertical="center"/>
      <protection hidden="1"/>
    </xf>
    <xf numFmtId="168" fontId="0" fillId="6" borderId="7" xfId="0" applyNumberFormat="1" applyFill="1" applyBorder="1" applyAlignment="1" applyProtection="1">
      <alignment horizontal="center" vertical="center"/>
      <protection hidden="1"/>
    </xf>
    <xf numFmtId="0" fontId="26" fillId="0" borderId="31" xfId="0" applyFont="1" applyBorder="1" applyProtection="1">
      <protection hidden="1"/>
    </xf>
    <xf numFmtId="2" fontId="0" fillId="6" borderId="7" xfId="0" applyNumberFormat="1" applyFill="1" applyBorder="1" applyAlignment="1" applyProtection="1">
      <alignment horizontal="center" vertical="center"/>
      <protection hidden="1"/>
    </xf>
    <xf numFmtId="171" fontId="17" fillId="2" borderId="7" xfId="4" applyNumberFormat="1" applyFont="1" applyFill="1" applyBorder="1" applyAlignment="1" applyProtection="1">
      <alignment horizontal="center"/>
      <protection locked="0" hidden="1"/>
    </xf>
    <xf numFmtId="0" fontId="4" fillId="15" borderId="0" xfId="1" applyFill="1" applyAlignment="1" applyProtection="1">
      <alignment horizontal="center"/>
      <protection hidden="1"/>
    </xf>
    <xf numFmtId="0" fontId="24" fillId="0" borderId="0" xfId="0" applyFont="1" applyAlignment="1" applyProtection="1">
      <alignment horizontal="center"/>
      <protection hidden="1"/>
    </xf>
    <xf numFmtId="0" fontId="24" fillId="0" borderId="14" xfId="0" applyFont="1" applyBorder="1" applyProtection="1">
      <protection hidden="1"/>
    </xf>
    <xf numFmtId="2" fontId="24" fillId="6" borderId="35" xfId="0" applyNumberFormat="1" applyFont="1" applyFill="1" applyBorder="1" applyAlignment="1" applyProtection="1">
      <alignment horizontal="center"/>
      <protection hidden="1"/>
    </xf>
    <xf numFmtId="2" fontId="24" fillId="6" borderId="36" xfId="0" applyNumberFormat="1" applyFont="1" applyFill="1" applyBorder="1" applyAlignment="1" applyProtection="1">
      <alignment horizontal="center"/>
      <protection hidden="1"/>
    </xf>
    <xf numFmtId="0" fontId="5" fillId="0" borderId="0" xfId="0" applyFont="1" applyAlignment="1" applyProtection="1">
      <alignment horizontal="center"/>
      <protection hidden="1"/>
    </xf>
    <xf numFmtId="0" fontId="24" fillId="0" borderId="0" xfId="0" applyFont="1" applyAlignment="1" applyProtection="1">
      <alignment vertical="center"/>
      <protection hidden="1"/>
    </xf>
    <xf numFmtId="9" fontId="17" fillId="2" borderId="7" xfId="3" applyFont="1" applyFill="1" applyBorder="1" applyAlignment="1" applyProtection="1">
      <alignment horizontal="center" vertical="center"/>
      <protection locked="0" hidden="1"/>
    </xf>
    <xf numFmtId="172" fontId="0" fillId="6" borderId="18" xfId="3" applyNumberFormat="1" applyFont="1" applyFill="1" applyBorder="1" applyAlignment="1" applyProtection="1">
      <alignment horizontal="center" vertical="center"/>
      <protection hidden="1"/>
    </xf>
    <xf numFmtId="172" fontId="0" fillId="6" borderId="27" xfId="3" applyNumberFormat="1" applyFont="1" applyFill="1" applyBorder="1" applyAlignment="1" applyProtection="1">
      <alignment horizontal="center" vertical="center"/>
      <protection hidden="1"/>
    </xf>
    <xf numFmtId="2" fontId="24" fillId="6" borderId="8" xfId="0" applyNumberFormat="1" applyFont="1" applyFill="1" applyBorder="1" applyAlignment="1" applyProtection="1">
      <alignment horizontal="center"/>
      <protection hidden="1"/>
    </xf>
    <xf numFmtId="2" fontId="24" fillId="6" borderId="10" xfId="0" applyNumberFormat="1" applyFont="1" applyFill="1" applyBorder="1" applyAlignment="1" applyProtection="1">
      <alignment horizontal="center"/>
      <protection hidden="1"/>
    </xf>
    <xf numFmtId="0" fontId="0" fillId="8" borderId="22" xfId="0" applyFill="1" applyBorder="1" applyProtection="1">
      <protection hidden="1"/>
    </xf>
    <xf numFmtId="0" fontId="0" fillId="14" borderId="22" xfId="0" applyFill="1" applyBorder="1" applyProtection="1">
      <protection hidden="1"/>
    </xf>
    <xf numFmtId="0" fontId="4" fillId="8" borderId="22" xfId="1" applyFill="1" applyBorder="1" applyProtection="1">
      <protection hidden="1"/>
    </xf>
    <xf numFmtId="0" fontId="0" fillId="5" borderId="19" xfId="0" applyFill="1" applyBorder="1" applyProtection="1">
      <protection hidden="1"/>
    </xf>
    <xf numFmtId="0" fontId="25" fillId="5" borderId="20" xfId="0" applyFont="1" applyFill="1" applyBorder="1" applyProtection="1">
      <protection hidden="1"/>
    </xf>
    <xf numFmtId="0" fontId="0" fillId="5" borderId="20" xfId="0" applyFill="1" applyBorder="1" applyProtection="1">
      <protection hidden="1"/>
    </xf>
    <xf numFmtId="0" fontId="0" fillId="5" borderId="21" xfId="0" applyFill="1" applyBorder="1" applyProtection="1">
      <protection hidden="1"/>
    </xf>
    <xf numFmtId="0" fontId="0" fillId="0" borderId="22" xfId="0" applyBorder="1" applyProtection="1">
      <protection hidden="1"/>
    </xf>
    <xf numFmtId="0" fontId="0" fillId="0" borderId="23" xfId="0" applyBorder="1" applyProtection="1">
      <protection hidden="1"/>
    </xf>
    <xf numFmtId="171" fontId="17" fillId="8" borderId="34" xfId="4" applyNumberFormat="1" applyFont="1" applyFill="1" applyBorder="1" applyAlignment="1" applyProtection="1">
      <alignment horizontal="left"/>
      <protection locked="0" hidden="1"/>
    </xf>
    <xf numFmtId="0" fontId="9" fillId="0" borderId="0" xfId="0" applyFont="1" applyProtection="1">
      <protection hidden="1"/>
    </xf>
    <xf numFmtId="168" fontId="0" fillId="6" borderId="7" xfId="0" applyNumberFormat="1" applyFill="1" applyBorder="1" applyAlignment="1" applyProtection="1">
      <alignment horizontal="center"/>
      <protection hidden="1"/>
    </xf>
    <xf numFmtId="0" fontId="0" fillId="0" borderId="24" xfId="0" applyBorder="1" applyProtection="1">
      <protection hidden="1"/>
    </xf>
    <xf numFmtId="0" fontId="0" fillId="0" borderId="25" xfId="0" applyBorder="1" applyProtection="1">
      <protection hidden="1"/>
    </xf>
    <xf numFmtId="0" fontId="0" fillId="0" borderId="26" xfId="0" applyBorder="1" applyProtection="1">
      <protection hidden="1"/>
    </xf>
    <xf numFmtId="3" fontId="8" fillId="6" borderId="0" xfId="0" applyNumberFormat="1" applyFont="1" applyFill="1" applyAlignment="1" applyProtection="1">
      <alignment horizontal="center"/>
      <protection hidden="1"/>
    </xf>
    <xf numFmtId="173" fontId="8" fillId="6" borderId="0" xfId="0" applyNumberFormat="1" applyFont="1" applyFill="1" applyAlignment="1" applyProtection="1">
      <alignment horizontal="center"/>
      <protection hidden="1"/>
    </xf>
    <xf numFmtId="1" fontId="8" fillId="0" borderId="0" xfId="0" applyNumberFormat="1" applyFont="1" applyAlignment="1" applyProtection="1">
      <alignment horizontal="center"/>
      <protection hidden="1"/>
    </xf>
    <xf numFmtId="0" fontId="10" fillId="0" borderId="0" xfId="0" applyFont="1" applyAlignment="1" applyProtection="1">
      <alignment wrapText="1"/>
      <protection hidden="1"/>
    </xf>
    <xf numFmtId="3" fontId="10" fillId="6" borderId="0" xfId="0" applyNumberFormat="1" applyFont="1" applyFill="1" applyAlignment="1" applyProtection="1">
      <alignment horizontal="center" vertical="center"/>
      <protection hidden="1"/>
    </xf>
    <xf numFmtId="0" fontId="10" fillId="0" borderId="0" xfId="0" applyFont="1" applyAlignment="1" applyProtection="1">
      <alignment vertical="center"/>
      <protection hidden="1"/>
    </xf>
    <xf numFmtId="0" fontId="27" fillId="0" borderId="14" xfId="0" applyFont="1" applyBorder="1" applyAlignment="1" applyProtection="1">
      <alignment horizontal="left" vertical="center" wrapText="1" readingOrder="1"/>
      <protection hidden="1"/>
    </xf>
    <xf numFmtId="0" fontId="12" fillId="0" borderId="8" xfId="0" applyFont="1" applyBorder="1" applyAlignment="1" applyProtection="1">
      <alignment horizontal="left" vertical="center" readingOrder="1"/>
      <protection hidden="1"/>
    </xf>
    <xf numFmtId="3" fontId="9" fillId="6" borderId="8" xfId="0" applyNumberFormat="1" applyFont="1" applyFill="1" applyBorder="1" applyAlignment="1" applyProtection="1">
      <alignment horizontal="center" vertical="center"/>
      <protection hidden="1"/>
    </xf>
    <xf numFmtId="0" fontId="9" fillId="0" borderId="8" xfId="0" applyFont="1" applyBorder="1" applyAlignment="1" applyProtection="1">
      <alignment vertical="center"/>
      <protection hidden="1"/>
    </xf>
    <xf numFmtId="0" fontId="27" fillId="0" borderId="0" xfId="0" applyFont="1" applyProtection="1">
      <protection hidden="1"/>
    </xf>
    <xf numFmtId="0" fontId="3" fillId="0" borderId="0" xfId="0" applyFont="1" applyProtection="1">
      <protection hidden="1"/>
    </xf>
    <xf numFmtId="1" fontId="8" fillId="6" borderId="0" xfId="0" applyNumberFormat="1" applyFont="1" applyFill="1" applyAlignment="1" applyProtection="1">
      <alignment horizontal="center"/>
      <protection hidden="1"/>
    </xf>
    <xf numFmtId="0" fontId="11" fillId="0" borderId="14" xfId="0" applyFont="1" applyBorder="1" applyAlignment="1" applyProtection="1">
      <alignment horizontal="left" vertical="center" wrapText="1" readingOrder="1"/>
      <protection hidden="1"/>
    </xf>
    <xf numFmtId="3" fontId="8" fillId="6" borderId="0" xfId="0" applyNumberFormat="1" applyFont="1" applyFill="1" applyAlignment="1" applyProtection="1">
      <alignment horizontal="center" vertical="center"/>
      <protection hidden="1"/>
    </xf>
    <xf numFmtId="0" fontId="8" fillId="0" borderId="0" xfId="0" applyFont="1" applyAlignment="1" applyProtection="1">
      <alignment vertical="center"/>
      <protection hidden="1"/>
    </xf>
    <xf numFmtId="173" fontId="8" fillId="6" borderId="0" xfId="0" applyNumberFormat="1" applyFont="1" applyFill="1" applyAlignment="1" applyProtection="1">
      <alignment horizontal="center" vertical="center"/>
      <protection hidden="1"/>
    </xf>
    <xf numFmtId="0" fontId="8" fillId="0" borderId="0" xfId="0" applyFont="1" applyAlignment="1" applyProtection="1">
      <alignment wrapText="1"/>
      <protection hidden="1"/>
    </xf>
    <xf numFmtId="0" fontId="1" fillId="0" borderId="0" xfId="0" applyFont="1" applyAlignment="1" applyProtection="1">
      <alignment vertical="center"/>
      <protection hidden="1"/>
    </xf>
    <xf numFmtId="1" fontId="8" fillId="6" borderId="0" xfId="0" applyNumberFormat="1" applyFont="1" applyFill="1" applyAlignment="1" applyProtection="1">
      <alignment horizontal="center" vertical="center"/>
      <protection hidden="1"/>
    </xf>
    <xf numFmtId="1" fontId="8" fillId="0" borderId="0" xfId="0" applyNumberFormat="1" applyFont="1" applyAlignment="1" applyProtection="1">
      <alignment horizontal="center" vertical="center"/>
      <protection hidden="1"/>
    </xf>
    <xf numFmtId="0" fontId="0" fillId="2" borderId="0" xfId="0" applyFill="1" applyProtection="1">
      <protection hidden="1"/>
    </xf>
    <xf numFmtId="0" fontId="0" fillId="2" borderId="0" xfId="0" applyFill="1" applyProtection="1">
      <protection locked="0"/>
    </xf>
    <xf numFmtId="176" fontId="17" fillId="2" borderId="7" xfId="4" applyNumberFormat="1" applyFont="1" applyFill="1" applyBorder="1" applyAlignment="1" applyProtection="1">
      <alignment horizontal="center"/>
      <protection locked="0" hidden="1"/>
    </xf>
    <xf numFmtId="0" fontId="0" fillId="18" borderId="31" xfId="0" applyFill="1" applyBorder="1" applyAlignment="1">
      <alignment vertical="center" wrapText="1"/>
    </xf>
    <xf numFmtId="0" fontId="0" fillId="18" borderId="33" xfId="0" applyFill="1" applyBorder="1" applyAlignment="1">
      <alignment vertical="center" wrapText="1"/>
    </xf>
    <xf numFmtId="0" fontId="48" fillId="19" borderId="41" xfId="0" applyFont="1" applyFill="1" applyBorder="1"/>
    <xf numFmtId="2" fontId="0" fillId="0" borderId="4" xfId="0" applyNumberFormat="1" applyBorder="1" applyProtection="1">
      <protection hidden="1"/>
    </xf>
    <xf numFmtId="1" fontId="0" fillId="6" borderId="7" xfId="0" applyNumberFormat="1" applyFill="1" applyBorder="1" applyAlignment="1" applyProtection="1">
      <alignment horizontal="center"/>
      <protection locked="0" hidden="1"/>
    </xf>
    <xf numFmtId="175" fontId="0" fillId="9" borderId="7" xfId="0" applyNumberFormat="1" applyFill="1" applyBorder="1" applyAlignment="1" applyProtection="1">
      <alignment horizontal="center"/>
      <protection hidden="1"/>
    </xf>
    <xf numFmtId="0" fontId="2" fillId="0" borderId="9" xfId="0" applyFont="1" applyBorder="1" applyProtection="1">
      <protection hidden="1"/>
    </xf>
    <xf numFmtId="174" fontId="0" fillId="9" borderId="7" xfId="2" applyNumberFormat="1" applyFont="1" applyFill="1" applyBorder="1" applyAlignment="1" applyProtection="1">
      <alignment horizontal="center"/>
      <protection hidden="1"/>
    </xf>
    <xf numFmtId="1" fontId="0" fillId="9" borderId="7" xfId="0" applyNumberFormat="1" applyFill="1" applyBorder="1" applyAlignment="1" applyProtection="1">
      <alignment horizontal="center"/>
      <protection hidden="1"/>
    </xf>
    <xf numFmtId="1" fontId="0" fillId="12" borderId="7" xfId="0" applyNumberFormat="1" applyFill="1" applyBorder="1" applyAlignment="1" applyProtection="1">
      <alignment horizontal="center"/>
      <protection hidden="1"/>
    </xf>
    <xf numFmtId="1" fontId="0" fillId="2" borderId="7" xfId="0" applyNumberFormat="1" applyFill="1" applyBorder="1" applyAlignment="1" applyProtection="1">
      <alignment horizontal="center"/>
      <protection hidden="1"/>
    </xf>
    <xf numFmtId="1" fontId="0" fillId="0" borderId="0" xfId="0" applyNumberFormat="1" applyProtection="1">
      <protection hidden="1"/>
    </xf>
    <xf numFmtId="0" fontId="49" fillId="0" borderId="7" xfId="0" applyFont="1" applyBorder="1" applyAlignment="1">
      <alignment horizontal="left" vertical="center" wrapText="1"/>
    </xf>
    <xf numFmtId="2" fontId="0" fillId="2" borderId="7" xfId="0" applyNumberFormat="1" applyFill="1" applyBorder="1" applyAlignment="1" applyProtection="1">
      <alignment horizontal="center" vertical="center"/>
      <protection locked="0" hidden="1"/>
    </xf>
    <xf numFmtId="9" fontId="0" fillId="0" borderId="0" xfId="0" applyNumberFormat="1" applyProtection="1">
      <protection hidden="1"/>
    </xf>
    <xf numFmtId="177" fontId="0" fillId="0" borderId="0" xfId="0" applyNumberFormat="1" applyProtection="1">
      <protection hidden="1"/>
    </xf>
    <xf numFmtId="3" fontId="0" fillId="10" borderId="7" xfId="2" applyNumberFormat="1" applyFont="1" applyFill="1" applyBorder="1" applyAlignment="1" applyProtection="1">
      <alignment horizontal="center" vertical="center"/>
      <protection hidden="1"/>
    </xf>
    <xf numFmtId="4" fontId="50" fillId="0" borderId="0" xfId="0" applyNumberFormat="1" applyFont="1"/>
    <xf numFmtId="0" fontId="0" fillId="0" borderId="0" xfId="0" applyAlignment="1">
      <alignment vertical="center"/>
    </xf>
    <xf numFmtId="178" fontId="0" fillId="0" borderId="0" xfId="0" applyNumberFormat="1"/>
    <xf numFmtId="3" fontId="0" fillId="2" borderId="7" xfId="2" applyNumberFormat="1" applyFont="1" applyFill="1" applyBorder="1" applyAlignment="1" applyProtection="1">
      <alignment horizontal="center" vertical="center"/>
      <protection hidden="1"/>
    </xf>
    <xf numFmtId="0" fontId="0" fillId="4" borderId="0" xfId="0" applyFill="1"/>
    <xf numFmtId="165" fontId="0" fillId="0" borderId="0" xfId="0" applyNumberFormat="1" applyProtection="1">
      <protection hidden="1"/>
    </xf>
    <xf numFmtId="0" fontId="2" fillId="0" borderId="14" xfId="0" applyFont="1" applyBorder="1" applyAlignment="1" applyProtection="1">
      <alignment horizontal="left" vertical="center"/>
      <protection hidden="1"/>
    </xf>
    <xf numFmtId="0" fontId="0" fillId="0" borderId="8" xfId="0" applyBorder="1" applyAlignment="1" applyProtection="1">
      <alignment vertical="center"/>
      <protection hidden="1"/>
    </xf>
    <xf numFmtId="3" fontId="0" fillId="6" borderId="10" xfId="2" applyNumberFormat="1" applyFont="1" applyFill="1" applyBorder="1" applyAlignment="1" applyProtection="1">
      <alignment horizontal="center" vertical="center"/>
      <protection hidden="1"/>
    </xf>
    <xf numFmtId="164" fontId="0" fillId="0" borderId="0" xfId="0" applyNumberFormat="1" applyProtection="1">
      <protection hidden="1"/>
    </xf>
    <xf numFmtId="0" fontId="50" fillId="0" borderId="0" xfId="0" applyFont="1"/>
    <xf numFmtId="0" fontId="0" fillId="8" borderId="0" xfId="0" applyFill="1" applyProtection="1">
      <protection hidden="1"/>
    </xf>
    <xf numFmtId="167" fontId="0" fillId="15" borderId="0" xfId="2" applyFont="1" applyFill="1" applyAlignment="1" applyProtection="1">
      <alignment vertical="center"/>
      <protection hidden="1"/>
    </xf>
    <xf numFmtId="0" fontId="2" fillId="12" borderId="0" xfId="0" applyFont="1" applyFill="1" applyAlignment="1" applyProtection="1">
      <alignment wrapText="1"/>
      <protection hidden="1"/>
    </xf>
    <xf numFmtId="0" fontId="2" fillId="12" borderId="0" xfId="0" applyFont="1" applyFill="1" applyAlignment="1" applyProtection="1">
      <alignment horizontal="center" wrapText="1"/>
      <protection hidden="1"/>
    </xf>
    <xf numFmtId="169" fontId="0" fillId="0" borderId="0" xfId="2" applyNumberFormat="1" applyFont="1" applyAlignment="1" applyProtection="1">
      <alignment wrapText="1"/>
      <protection hidden="1"/>
    </xf>
    <xf numFmtId="0" fontId="48" fillId="19" borderId="41" xfId="0" applyFont="1" applyFill="1" applyBorder="1" applyAlignment="1">
      <alignment vertical="center" wrapText="1"/>
    </xf>
    <xf numFmtId="3" fontId="48" fillId="20" borderId="41" xfId="0" applyNumberFormat="1" applyFont="1" applyFill="1" applyBorder="1" applyAlignment="1">
      <alignment horizontal="center" vertical="center"/>
    </xf>
    <xf numFmtId="3" fontId="51" fillId="20" borderId="41" xfId="0" applyNumberFormat="1" applyFont="1" applyFill="1" applyBorder="1" applyAlignment="1">
      <alignment horizontal="center" vertical="center"/>
    </xf>
    <xf numFmtId="0" fontId="48" fillId="0" borderId="0" xfId="0" applyFont="1"/>
    <xf numFmtId="3" fontId="48" fillId="19" borderId="41" xfId="0" applyNumberFormat="1" applyFont="1" applyFill="1" applyBorder="1" applyAlignment="1">
      <alignment horizontal="center" vertical="center"/>
    </xf>
    <xf numFmtId="3" fontId="48" fillId="19" borderId="41" xfId="0" applyNumberFormat="1" applyFont="1" applyFill="1" applyBorder="1" applyAlignment="1">
      <alignment horizontal="center" vertical="center" wrapText="1"/>
    </xf>
    <xf numFmtId="172" fontId="0" fillId="0" borderId="0" xfId="3" applyNumberFormat="1" applyFont="1"/>
    <xf numFmtId="167" fontId="2" fillId="0" borderId="0" xfId="0" applyNumberFormat="1" applyFont="1" applyProtection="1">
      <protection hidden="1"/>
    </xf>
    <xf numFmtId="0" fontId="0" fillId="0" borderId="0" xfId="0" applyAlignment="1">
      <alignment wrapText="1"/>
    </xf>
    <xf numFmtId="173" fontId="0" fillId="0" borderId="0" xfId="0" applyNumberFormat="1"/>
    <xf numFmtId="1" fontId="0" fillId="2" borderId="7" xfId="0" applyNumberFormat="1" applyFill="1" applyBorder="1" applyProtection="1">
      <protection locked="0" hidden="1"/>
    </xf>
    <xf numFmtId="0" fontId="1" fillId="0" borderId="0" xfId="0" applyFont="1" applyAlignment="1" applyProtection="1">
      <alignment horizontal="right"/>
      <protection hidden="1"/>
    </xf>
    <xf numFmtId="0" fontId="3" fillId="2" borderId="7" xfId="0" applyFont="1" applyFill="1" applyBorder="1" applyAlignment="1" applyProtection="1">
      <alignment horizontal="center"/>
      <protection locked="0" hidden="1"/>
    </xf>
    <xf numFmtId="0" fontId="3" fillId="0" borderId="4" xfId="0" applyFont="1" applyBorder="1" applyProtection="1">
      <protection hidden="1"/>
    </xf>
    <xf numFmtId="173" fontId="0" fillId="0" borderId="0" xfId="0" applyNumberFormat="1" applyProtection="1">
      <protection hidden="1"/>
    </xf>
    <xf numFmtId="0" fontId="0" fillId="4" borderId="0" xfId="0" applyFill="1" applyAlignment="1" applyProtection="1">
      <alignment horizontal="right"/>
      <protection hidden="1"/>
    </xf>
    <xf numFmtId="179" fontId="0" fillId="0" borderId="0" xfId="0" applyNumberFormat="1" applyProtection="1">
      <protection hidden="1"/>
    </xf>
    <xf numFmtId="3" fontId="1" fillId="0" borderId="0" xfId="0" applyNumberFormat="1" applyFont="1" applyProtection="1">
      <protection hidden="1"/>
    </xf>
    <xf numFmtId="0" fontId="1" fillId="0" borderId="0" xfId="0" applyFont="1"/>
    <xf numFmtId="1" fontId="0" fillId="18" borderId="33" xfId="0" applyNumberFormat="1" applyFill="1" applyBorder="1" applyAlignment="1">
      <alignment horizontal="center" vertical="center" wrapText="1"/>
    </xf>
    <xf numFmtId="171" fontId="52" fillId="8" borderId="34" xfId="4" applyNumberFormat="1" applyFont="1" applyFill="1" applyBorder="1" applyAlignment="1" applyProtection="1">
      <alignment horizontal="center" vertical="center"/>
      <protection locked="0" hidden="1"/>
    </xf>
    <xf numFmtId="0" fontId="0" fillId="0" borderId="0" xfId="0" applyAlignment="1">
      <alignment horizontal="left" vertical="center"/>
    </xf>
    <xf numFmtId="1" fontId="0" fillId="18" borderId="33" xfId="0" applyNumberFormat="1" applyFill="1" applyBorder="1" applyAlignment="1">
      <alignment vertical="center" wrapText="1"/>
    </xf>
    <xf numFmtId="1" fontId="0" fillId="6" borderId="0" xfId="0" applyNumberFormat="1" applyFill="1" applyAlignment="1" applyProtection="1">
      <alignment horizontal="center"/>
      <protection hidden="1"/>
    </xf>
    <xf numFmtId="180" fontId="0" fillId="6" borderId="0" xfId="2" applyNumberFormat="1" applyFont="1" applyFill="1" applyProtection="1">
      <protection hidden="1"/>
    </xf>
    <xf numFmtId="0" fontId="0" fillId="18" borderId="7" xfId="0" applyFill="1" applyBorder="1" applyAlignment="1" applyProtection="1">
      <alignment horizontal="center"/>
      <protection hidden="1"/>
    </xf>
    <xf numFmtId="181" fontId="0" fillId="6" borderId="0" xfId="0" applyNumberFormat="1" applyFill="1" applyProtection="1">
      <protection hidden="1"/>
    </xf>
    <xf numFmtId="0" fontId="53" fillId="0" borderId="0" xfId="0" applyFont="1"/>
    <xf numFmtId="0" fontId="54" fillId="0" borderId="0" xfId="0" applyFont="1"/>
    <xf numFmtId="0" fontId="55" fillId="0" borderId="0" xfId="0" applyFont="1"/>
    <xf numFmtId="0" fontId="56" fillId="21" borderId="0" xfId="0" applyFont="1" applyFill="1"/>
    <xf numFmtId="0" fontId="48" fillId="0" borderId="7" xfId="0" applyFont="1" applyBorder="1"/>
    <xf numFmtId="0" fontId="48" fillId="22" borderId="42" xfId="0" applyFont="1" applyFill="1" applyBorder="1"/>
    <xf numFmtId="0" fontId="57" fillId="0" borderId="7" xfId="1" applyFont="1" applyFill="1" applyBorder="1"/>
    <xf numFmtId="0" fontId="57" fillId="0" borderId="7" xfId="1" applyFont="1" applyFill="1" applyBorder="1" applyAlignment="1">
      <alignment horizontal="left" indent="1"/>
    </xf>
    <xf numFmtId="0" fontId="57" fillId="0" borderId="7" xfId="1" applyFont="1" applyFill="1" applyBorder="1" applyAlignment="1">
      <alignment horizontal="left"/>
    </xf>
    <xf numFmtId="171" fontId="58" fillId="23" borderId="7" xfId="4" applyNumberFormat="1" applyFont="1" applyFill="1" applyBorder="1" applyAlignment="1">
      <alignment horizontal="left"/>
    </xf>
    <xf numFmtId="171" fontId="58" fillId="24" borderId="43" xfId="4" applyNumberFormat="1" applyFont="1" applyFill="1" applyBorder="1" applyAlignment="1">
      <alignment horizontal="left"/>
    </xf>
    <xf numFmtId="0" fontId="48" fillId="25" borderId="0" xfId="0" applyFont="1" applyFill="1"/>
    <xf numFmtId="0" fontId="48" fillId="26" borderId="0" xfId="0" applyFont="1" applyFill="1"/>
    <xf numFmtId="0" fontId="48" fillId="22" borderId="42" xfId="0" applyFont="1" applyFill="1" applyBorder="1" applyAlignment="1">
      <alignment vertical="top" wrapText="1"/>
    </xf>
    <xf numFmtId="1" fontId="0" fillId="4" borderId="7" xfId="0" applyNumberFormat="1" applyFill="1" applyBorder="1" applyAlignment="1" applyProtection="1">
      <alignment horizontal="center"/>
      <protection locked="0" hidden="1"/>
    </xf>
    <xf numFmtId="3" fontId="9" fillId="6" borderId="8" xfId="0" applyNumberFormat="1" applyFont="1" applyFill="1" applyBorder="1" applyAlignment="1" applyProtection="1">
      <alignment horizontal="left" vertical="center"/>
      <protection hidden="1"/>
    </xf>
    <xf numFmtId="0" fontId="2" fillId="0" borderId="0" xfId="0" applyFont="1" applyAlignment="1" applyProtection="1">
      <alignment horizontal="left" wrapText="1"/>
      <protection hidden="1"/>
    </xf>
    <xf numFmtId="0" fontId="2" fillId="0" borderId="16" xfId="0" applyFont="1" applyBorder="1" applyAlignment="1" applyProtection="1">
      <alignment horizontal="left" vertical="center" wrapText="1"/>
      <protection hidden="1"/>
    </xf>
    <xf numFmtId="0" fontId="2" fillId="0" borderId="0" xfId="0" applyFont="1" applyAlignment="1" applyProtection="1">
      <alignment horizontal="left" vertical="center" wrapText="1"/>
      <protection hidden="1"/>
    </xf>
    <xf numFmtId="0" fontId="6" fillId="0" borderId="16" xfId="0" applyFont="1" applyBorder="1" applyAlignment="1" applyProtection="1">
      <alignment horizontal="left"/>
      <protection hidden="1"/>
    </xf>
    <xf numFmtId="0" fontId="6" fillId="0" borderId="0" xfId="0" applyFont="1" applyAlignment="1" applyProtection="1">
      <alignment horizontal="left"/>
      <protection hidden="1"/>
    </xf>
    <xf numFmtId="0" fontId="0" fillId="14" borderId="0" xfId="0" applyFill="1" applyAlignment="1" applyProtection="1">
      <alignment horizontal="left" vertical="top" wrapText="1"/>
      <protection hidden="1"/>
    </xf>
    <xf numFmtId="0" fontId="0" fillId="0" borderId="31" xfId="0" applyBorder="1" applyAlignment="1" applyProtection="1">
      <alignment horizontal="center" vertical="center" wrapText="1"/>
      <protection hidden="1"/>
    </xf>
    <xf numFmtId="0" fontId="0" fillId="0" borderId="33" xfId="0" applyBorder="1" applyAlignment="1" applyProtection="1">
      <alignment horizontal="center" vertical="center" wrapText="1"/>
      <protection hidden="1"/>
    </xf>
    <xf numFmtId="0" fontId="0" fillId="0" borderId="28" xfId="0" applyBorder="1" applyAlignment="1" applyProtection="1">
      <alignment horizontal="center" vertical="center" wrapText="1"/>
      <protection hidden="1"/>
    </xf>
    <xf numFmtId="0" fontId="0" fillId="14" borderId="39" xfId="0" applyFill="1" applyBorder="1" applyAlignment="1" applyProtection="1">
      <alignment horizontal="left" vertical="center" wrapText="1"/>
      <protection hidden="1"/>
    </xf>
    <xf numFmtId="0" fontId="0" fillId="14" borderId="40" xfId="0" applyFill="1" applyBorder="1" applyAlignment="1" applyProtection="1">
      <alignment horizontal="left" vertical="center" wrapText="1"/>
      <protection hidden="1"/>
    </xf>
    <xf numFmtId="0" fontId="2" fillId="11" borderId="7" xfId="0" applyFont="1" applyFill="1" applyBorder="1" applyAlignment="1" applyProtection="1">
      <alignment horizontal="center" vertical="center"/>
      <protection hidden="1"/>
    </xf>
    <xf numFmtId="0" fontId="39" fillId="0" borderId="7" xfId="0" applyFont="1" applyBorder="1" applyAlignment="1" applyProtection="1">
      <alignment horizontal="left" vertical="center" wrapText="1" readingOrder="1"/>
      <protection hidden="1"/>
    </xf>
    <xf numFmtId="0" fontId="18" fillId="10" borderId="31" xfId="0" applyFont="1" applyFill="1" applyBorder="1" applyAlignment="1" applyProtection="1">
      <alignment horizontal="left" vertical="center"/>
      <protection hidden="1"/>
    </xf>
    <xf numFmtId="0" fontId="18" fillId="10" borderId="33" xfId="0" applyFont="1" applyFill="1" applyBorder="1" applyAlignment="1" applyProtection="1">
      <alignment horizontal="left" vertical="center"/>
      <protection hidden="1"/>
    </xf>
    <xf numFmtId="0" fontId="18" fillId="10" borderId="28" xfId="0" applyFont="1" applyFill="1" applyBorder="1" applyAlignment="1" applyProtection="1">
      <alignment horizontal="left" vertical="center"/>
      <protection hidden="1"/>
    </xf>
    <xf numFmtId="0" fontId="24" fillId="5" borderId="0" xfId="0" applyFont="1" applyFill="1" applyAlignment="1" applyProtection="1">
      <alignment horizontal="left"/>
      <protection hidden="1"/>
    </xf>
    <xf numFmtId="0" fontId="9" fillId="14" borderId="0" xfId="0" applyFont="1" applyFill="1" applyAlignment="1" applyProtection="1">
      <alignment horizontal="left" vertical="center" wrapText="1"/>
      <protection hidden="1"/>
    </xf>
    <xf numFmtId="0" fontId="9" fillId="6" borderId="0" xfId="0" applyFont="1" applyFill="1" applyAlignment="1" applyProtection="1">
      <alignment horizontal="left" vertical="center" wrapText="1"/>
      <protection hidden="1"/>
    </xf>
    <xf numFmtId="0" fontId="2" fillId="10" borderId="7" xfId="0" applyFont="1" applyFill="1" applyBorder="1" applyAlignment="1" applyProtection="1">
      <alignment horizontal="left"/>
      <protection hidden="1"/>
    </xf>
    <xf numFmtId="0" fontId="40" fillId="2" borderId="31" xfId="0" applyFont="1" applyFill="1" applyBorder="1" applyAlignment="1" applyProtection="1">
      <alignment horizontal="left" vertical="center" wrapText="1" readingOrder="1"/>
      <protection locked="0" hidden="1"/>
    </xf>
    <xf numFmtId="0" fontId="40" fillId="2" borderId="33" xfId="0" applyFont="1" applyFill="1" applyBorder="1" applyAlignment="1" applyProtection="1">
      <alignment horizontal="left" vertical="center" wrapText="1" readingOrder="1"/>
      <protection locked="0" hidden="1"/>
    </xf>
    <xf numFmtId="0" fontId="40" fillId="2" borderId="28" xfId="0" applyFont="1" applyFill="1" applyBorder="1" applyAlignment="1" applyProtection="1">
      <alignment horizontal="left" vertical="center" wrapText="1" readingOrder="1"/>
      <protection locked="0" hidden="1"/>
    </xf>
    <xf numFmtId="0" fontId="9" fillId="6" borderId="0" xfId="0" applyFont="1" applyFill="1" applyAlignment="1" applyProtection="1">
      <alignment horizontal="left" vertical="top" wrapText="1"/>
      <protection hidden="1"/>
    </xf>
    <xf numFmtId="0" fontId="40" fillId="12" borderId="31" xfId="0" applyFont="1" applyFill="1" applyBorder="1" applyAlignment="1" applyProtection="1">
      <alignment horizontal="left" vertical="center" wrapText="1" readingOrder="1"/>
      <protection hidden="1"/>
    </xf>
    <xf numFmtId="0" fontId="40" fillId="12" borderId="33" xfId="0" applyFont="1" applyFill="1" applyBorder="1" applyAlignment="1" applyProtection="1">
      <alignment horizontal="left" vertical="center" wrapText="1" readingOrder="1"/>
      <protection hidden="1"/>
    </xf>
    <xf numFmtId="0" fontId="40" fillId="12" borderId="28" xfId="0" applyFont="1" applyFill="1" applyBorder="1" applyAlignment="1" applyProtection="1">
      <alignment horizontal="left" vertical="center" wrapText="1" readingOrder="1"/>
      <protection hidden="1"/>
    </xf>
    <xf numFmtId="0" fontId="0" fillId="6" borderId="0" xfId="0" applyFill="1" applyAlignment="1" applyProtection="1">
      <alignment horizontal="left" vertical="center" wrapText="1"/>
      <protection hidden="1"/>
    </xf>
    <xf numFmtId="0" fontId="2" fillId="11" borderId="29" xfId="0" applyFont="1" applyFill="1" applyBorder="1" applyAlignment="1">
      <alignment horizontal="center"/>
    </xf>
    <xf numFmtId="0" fontId="29" fillId="6" borderId="0" xfId="0" applyFont="1" applyFill="1" applyAlignment="1">
      <alignment horizontal="left" vertical="center" wrapText="1"/>
    </xf>
    <xf numFmtId="0" fontId="0" fillId="6" borderId="0" xfId="0" applyFill="1" applyAlignment="1" applyProtection="1">
      <alignment horizontal="left" vertical="top" wrapText="1"/>
      <protection hidden="1"/>
    </xf>
    <xf numFmtId="0" fontId="0" fillId="14" borderId="16" xfId="0" applyFill="1" applyBorder="1" applyAlignment="1" applyProtection="1">
      <alignment horizontal="left" vertical="center" wrapText="1"/>
      <protection hidden="1"/>
    </xf>
    <xf numFmtId="0" fontId="0" fillId="14" borderId="0" xfId="0" applyFill="1" applyAlignment="1" applyProtection="1">
      <alignment horizontal="left" vertical="center" wrapText="1"/>
      <protection hidden="1"/>
    </xf>
    <xf numFmtId="0" fontId="0" fillId="18" borderId="7" xfId="0" applyFill="1" applyBorder="1" applyAlignment="1" applyProtection="1">
      <alignment horizontal="center"/>
      <protection hidden="1"/>
    </xf>
    <xf numFmtId="0" fontId="1" fillId="27" borderId="3" xfId="0" applyFont="1" applyFill="1" applyBorder="1" applyAlignment="1" applyProtection="1">
      <alignment horizontal="center"/>
      <protection hidden="1"/>
    </xf>
    <xf numFmtId="0" fontId="1" fillId="27" borderId="0" xfId="0" applyFont="1" applyFill="1" applyAlignment="1" applyProtection="1">
      <alignment horizontal="center"/>
      <protection hidden="1"/>
    </xf>
    <xf numFmtId="0" fontId="0" fillId="0" borderId="3" xfId="0" applyBorder="1" applyAlignment="1" applyProtection="1">
      <alignment horizontal="left" vertical="top" wrapText="1"/>
      <protection hidden="1"/>
    </xf>
    <xf numFmtId="0" fontId="0" fillId="0" borderId="4" xfId="0" applyBorder="1" applyAlignment="1" applyProtection="1">
      <alignment horizontal="left" vertical="top" wrapText="1"/>
      <protection hidden="1"/>
    </xf>
    <xf numFmtId="0" fontId="0" fillId="0" borderId="5" xfId="0" applyBorder="1" applyAlignment="1" applyProtection="1">
      <alignment horizontal="left" vertical="top" wrapText="1"/>
      <protection hidden="1"/>
    </xf>
    <xf numFmtId="0" fontId="0" fillId="0" borderId="6" xfId="0" applyBorder="1" applyAlignment="1" applyProtection="1">
      <alignment horizontal="left" vertical="top" wrapText="1"/>
      <protection hidden="1"/>
    </xf>
    <xf numFmtId="0" fontId="29" fillId="6" borderId="0" xfId="0" applyFont="1" applyFill="1" applyAlignment="1" applyProtection="1">
      <alignment horizontal="left" vertical="center" wrapText="1"/>
      <protection hidden="1"/>
    </xf>
    <xf numFmtId="0" fontId="0" fillId="0" borderId="3" xfId="0" applyBorder="1" applyAlignment="1" applyProtection="1">
      <alignment horizontal="center"/>
      <protection hidden="1"/>
    </xf>
    <xf numFmtId="0" fontId="0" fillId="0" borderId="0" xfId="0" applyAlignment="1" applyProtection="1">
      <alignment horizontal="center"/>
      <protection hidden="1"/>
    </xf>
    <xf numFmtId="0" fontId="0" fillId="14" borderId="7" xfId="0" applyFill="1" applyBorder="1" applyAlignment="1" applyProtection="1">
      <alignment horizontal="left" vertical="center" wrapText="1"/>
      <protection hidden="1"/>
    </xf>
    <xf numFmtId="0" fontId="0" fillId="17" borderId="31" xfId="0" applyFill="1" applyBorder="1" applyAlignment="1" applyProtection="1">
      <alignment horizontal="center"/>
      <protection hidden="1"/>
    </xf>
    <xf numFmtId="0" fontId="0" fillId="17" borderId="33" xfId="0" applyFill="1" applyBorder="1" applyAlignment="1" applyProtection="1">
      <alignment horizontal="center"/>
      <protection hidden="1"/>
    </xf>
    <xf numFmtId="0" fontId="0" fillId="17" borderId="28" xfId="0" applyFill="1" applyBorder="1" applyAlignment="1" applyProtection="1">
      <alignment horizontal="center"/>
      <protection hidden="1"/>
    </xf>
    <xf numFmtId="0" fontId="0" fillId="9" borderId="0" xfId="0" applyFill="1" applyAlignment="1" applyProtection="1">
      <alignment horizontal="left"/>
      <protection hidden="1"/>
    </xf>
    <xf numFmtId="0" fontId="0" fillId="18" borderId="0" xfId="0" applyFill="1" applyAlignment="1" applyProtection="1">
      <alignment horizontal="center"/>
      <protection hidden="1"/>
    </xf>
  </cellXfs>
  <cellStyles count="5">
    <cellStyle name="Comma" xfId="2" builtinId="3"/>
    <cellStyle name="Comma 2" xfId="4" xr:uid="{B72DA6E4-313F-437C-8B05-BD7D12F47998}"/>
    <cellStyle name="Hyperlink" xfId="1" builtinId="8"/>
    <cellStyle name="Normal" xfId="0" builtinId="0"/>
    <cellStyle name="Per cent" xfId="3" builtinId="5"/>
  </cellStyles>
  <dxfs count="33">
    <dxf>
      <fill>
        <patternFill>
          <bgColor theme="9" tint="0.59996337778862885"/>
        </patternFill>
      </fill>
    </dxf>
    <dxf>
      <fill>
        <patternFill>
          <bgColor rgb="FFC00000"/>
        </patternFill>
      </fill>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C00000"/>
        </patternFill>
      </fill>
    </dxf>
    <dxf>
      <fill>
        <patternFill>
          <bgColor rgb="FFC00000"/>
        </patternFill>
      </fill>
    </dxf>
    <dxf>
      <font>
        <color auto="1"/>
      </font>
      <fill>
        <patternFill>
          <bgColor rgb="FFC00000"/>
        </patternFill>
      </fill>
    </dxf>
    <dxf>
      <fill>
        <patternFill>
          <bgColor rgb="FFC00000"/>
        </patternFill>
      </fill>
    </dxf>
    <dxf>
      <font>
        <color rgb="FF7030A0"/>
      </font>
    </dxf>
    <dxf>
      <font>
        <color rgb="FF7030A0"/>
      </font>
    </dxf>
    <dxf>
      <fill>
        <patternFill>
          <bgColor theme="9" tint="0.59996337778862885"/>
        </patternFill>
      </fill>
    </dxf>
    <dxf>
      <fill>
        <patternFill>
          <bgColor rgb="FFC00000"/>
        </patternFill>
      </fill>
    </dxf>
    <dxf>
      <fill>
        <patternFill>
          <fgColor indexed="64"/>
          <bgColor theme="8" tint="0.79998168889431442"/>
        </patternFill>
      </fill>
      <protection locked="1" hidden="1"/>
    </dxf>
    <dxf>
      <numFmt numFmtId="1" formatCode="0"/>
      <fill>
        <patternFill patternType="solid">
          <fgColor indexed="64"/>
          <bgColor theme="8" tint="0.79998168889431442"/>
        </patternFill>
      </fill>
      <protection locked="1" hidden="1"/>
    </dxf>
    <dxf>
      <numFmt numFmtId="0" formatCode="General"/>
      <fill>
        <patternFill>
          <fgColor indexed="64"/>
          <bgColor theme="8" tint="0.79998168889431442"/>
        </patternFill>
      </fill>
      <protection locked="1" hidden="1"/>
    </dxf>
    <dxf>
      <numFmt numFmtId="0" formatCode="General"/>
      <fill>
        <patternFill>
          <fgColor indexed="64"/>
          <bgColor theme="8" tint="0.79998168889431442"/>
        </patternFill>
      </fill>
      <protection locked="1" hidden="1"/>
    </dxf>
    <dxf>
      <numFmt numFmtId="0" formatCode="General"/>
      <fill>
        <patternFill patternType="solid">
          <fgColor indexed="64"/>
          <bgColor theme="8" tint="0.79998168889431442"/>
        </patternFill>
      </fill>
      <protection locked="1" hidden="1"/>
    </dxf>
    <dxf>
      <font>
        <b val="0"/>
        <i val="0"/>
        <strike val="0"/>
        <condense val="0"/>
        <extend val="0"/>
        <outline val="0"/>
        <shadow val="0"/>
        <u val="none"/>
        <vertAlign val="baseline"/>
        <sz val="11"/>
        <color theme="1"/>
        <name val="Calibri"/>
        <family val="2"/>
        <scheme val="minor"/>
      </font>
      <numFmt numFmtId="180" formatCode="_ * #,##0.000_ ;_ * \-#,##0.000_ ;_ * &quot;-&quot;??_ ;_ @_ "/>
      <fill>
        <patternFill patternType="solid">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68" formatCode="0.0"/>
      <fill>
        <patternFill patternType="none">
          <fgColor indexed="64"/>
          <bgColor theme="8" tint="0.79998168889431442"/>
        </patternFill>
      </fill>
      <protection locked="1" hidden="1"/>
    </dxf>
    <dxf>
      <font>
        <b val="0"/>
        <i val="0"/>
        <strike val="0"/>
        <condense val="0"/>
        <extend val="0"/>
        <outline val="0"/>
        <shadow val="0"/>
        <u val="none"/>
        <vertAlign val="baseline"/>
        <sz val="11"/>
        <color auto="1"/>
        <name val="Calibri"/>
        <family val="2"/>
        <scheme val="minor"/>
      </font>
      <numFmt numFmtId="170" formatCode="0.00_);\(0.00\)"/>
      <fill>
        <patternFill patternType="solid">
          <fgColor indexed="64"/>
          <bgColor theme="8" tint="0.79998168889431442"/>
        </patternFill>
      </fill>
      <alignment horizontal="center" vertical="bottom" textRotation="0" wrapText="0" indent="0" justifyLastLine="0" shrinkToFit="0" readingOrder="0"/>
      <protection locked="1" hidden="1"/>
    </dxf>
    <dxf>
      <numFmt numFmtId="170" formatCode="0.00_);\(0.00\)"/>
      <fill>
        <patternFill patternType="solid">
          <fgColor indexed="64"/>
          <bgColor theme="8" tint="0.79998168889431442"/>
        </patternFill>
      </fill>
      <alignment horizontal="center" vertical="bottom" textRotation="0" wrapText="0" indent="0" justifyLastLine="0" shrinkToFit="0" readingOrder="0"/>
      <protection locked="1" hidden="1"/>
    </dxf>
    <dxf>
      <numFmt numFmtId="170" formatCode="0.00_);\(0.00\)"/>
      <fill>
        <patternFill patternType="solid">
          <fgColor indexed="64"/>
          <bgColor theme="8" tint="0.79998168889431442"/>
        </patternFill>
      </fill>
      <alignment horizontal="center" vertical="bottom" textRotation="0" wrapText="0" indent="0" justifyLastLine="0" shrinkToFit="0" readingOrder="0"/>
      <protection locked="1" hidden="1"/>
    </dxf>
    <dxf>
      <numFmt numFmtId="170" formatCode="0.00_);\(0.00\)"/>
      <fill>
        <patternFill patternType="solid">
          <fgColor indexed="64"/>
          <bgColor theme="8" tint="0.79998168889431442"/>
        </patternFill>
      </fill>
      <alignment horizontal="center" vertical="bottom" textRotation="0" wrapText="0" indent="0" justifyLastLine="0" shrinkToFit="0" readingOrder="0"/>
      <protection locked="1" hidden="1"/>
    </dxf>
    <dxf>
      <protection locked="1" hidden="1"/>
    </dxf>
    <dxf>
      <protection locked="1" hidden="1"/>
    </dxf>
    <dxf>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protection locked="1" hidden="1"/>
    </dxf>
  </dxfs>
  <tableStyles count="0" defaultTableStyle="TableStyleMedium2" defaultPivotStyle="PivotStyleLight16"/>
  <colors>
    <mruColors>
      <color rgb="FFFF7171"/>
      <color rgb="FFFFB7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of LI benchmark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'OUTPUT_Living wage'!$G$26</c:f>
              <c:strCache>
                <c:ptCount val="1"/>
                <c:pt idx="0">
                  <c:v>USD/month</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A33-4640-A418-A4B33688B72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A33-4640-A418-A4B33688B72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A33-4640-A418-A4B33688B72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A33-4640-A418-A4B33688B72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114-4CFB-8474-D7523A44ABD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'OUTPUT_Living wage'!$C$27:$D$31</c:f>
              <c:strCache>
                <c:ptCount val="5"/>
                <c:pt idx="0">
                  <c:v>Housing</c:v>
                </c:pt>
                <c:pt idx="1">
                  <c:v>Food</c:v>
                </c:pt>
                <c:pt idx="2">
                  <c:v>NFNH</c:v>
                </c:pt>
                <c:pt idx="3">
                  <c:v>Cost of elder care</c:v>
                </c:pt>
                <c:pt idx="4">
                  <c:v>Margins (unexpected events)</c:v>
                </c:pt>
              </c:strCache>
            </c:strRef>
          </c:cat>
          <c:val>
            <c:numRef>
              <c:f>'OUTPUT_Living wage'!$G$27:$G$31</c:f>
              <c:numCache>
                <c:formatCode>#,##0_ ;\-#,##0\ </c:formatCode>
                <c:ptCount val="5"/>
                <c:pt idx="0">
                  <c:v>26.747488662131516</c:v>
                </c:pt>
                <c:pt idx="1">
                  <c:v>176.33957516059357</c:v>
                </c:pt>
                <c:pt idx="2">
                  <c:v>150.50909294725474</c:v>
                </c:pt>
                <c:pt idx="3">
                  <c:v>17.679807838498991</c:v>
                </c:pt>
                <c:pt idx="4">
                  <c:v>17.679807838498991</c:v>
                </c:pt>
              </c:numCache>
            </c:numRef>
          </c:val>
          <c:extLst>
            <c:ext xmlns:c16="http://schemas.microsoft.com/office/drawing/2014/chart" uri="{C3380CC4-5D6E-409C-BE32-E72D297353CC}">
              <c16:uniqueId val="{00000000-AB46-46DC-8B4B-6F034E338A9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2857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6060126999295202"/>
          <c:y val="0.18099354246124594"/>
          <c:w val="0.43560873028760605"/>
          <c:h val="0.70823134900600482"/>
        </c:manualLayout>
      </c:layout>
      <c:pieChart>
        <c:varyColors val="1"/>
        <c:ser>
          <c:idx val="0"/>
          <c:order val="0"/>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2DAF-4A60-9C5A-F630F14605AA}"/>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2DAF-4A60-9C5A-F630F14605AA}"/>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2DAF-4A60-9C5A-F630F14605AA}"/>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2DAF-4A60-9C5A-F630F14605AA}"/>
              </c:ext>
            </c:extLst>
          </c:dPt>
          <c:dLbls>
            <c:dLbl>
              <c:idx val="0"/>
              <c:layout>
                <c:manualLayout>
                  <c:x val="2.6921104832359103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AF-4A60-9C5A-F630F14605AA}"/>
                </c:ext>
              </c:extLst>
            </c:dLbl>
            <c:dLbl>
              <c:idx val="1"/>
              <c:layout>
                <c:manualLayout>
                  <c:x val="-3.5858548111615672E-2"/>
                  <c:y val="5.795194822535167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371928978327405"/>
                      <c:h val="0.1979825983821499"/>
                    </c:manualLayout>
                  </c15:layout>
                </c:ext>
                <c:ext xmlns:c16="http://schemas.microsoft.com/office/drawing/2014/chart" uri="{C3380CC4-5D6E-409C-BE32-E72D297353CC}">
                  <c16:uniqueId val="{00000003-2DAF-4A60-9C5A-F630F14605AA}"/>
                </c:ext>
              </c:extLst>
            </c:dLbl>
            <c:dLbl>
              <c:idx val="2"/>
              <c:layout>
                <c:manualLayout>
                  <c:x val="-5.555555555555558E-2"/>
                  <c:y val="-8.796296296296296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AF-4A60-9C5A-F630F14605AA}"/>
                </c:ext>
              </c:extLst>
            </c:dLbl>
            <c:dLbl>
              <c:idx val="3"/>
              <c:layout>
                <c:manualLayout>
                  <c:x val="0.3918846279685313"/>
                  <c:y val="4.7138034640887977E-3"/>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4379958887309792"/>
                      <c:h val="0.29032315535322906"/>
                    </c:manualLayout>
                  </c15:layout>
                </c:ext>
                <c:ext xmlns:c16="http://schemas.microsoft.com/office/drawing/2014/chart" uri="{C3380CC4-5D6E-409C-BE32-E72D297353CC}">
                  <c16:uniqueId val="{00000007-2DAF-4A60-9C5A-F630F14605AA}"/>
                </c:ext>
              </c:extLst>
            </c:dLbl>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'Background calculations'!$B$89:$B$92</c:f>
              <c:strCache>
                <c:ptCount val="4"/>
                <c:pt idx="0">
                  <c:v>Rent</c:v>
                </c:pt>
                <c:pt idx="1">
                  <c:v>Electricity</c:v>
                </c:pt>
                <c:pt idx="2">
                  <c:v>Water</c:v>
                </c:pt>
                <c:pt idx="3">
                  <c:v>Cooking fuels</c:v>
                </c:pt>
              </c:strCache>
            </c:strRef>
          </c:cat>
          <c:val>
            <c:numRef>
              <c:f>'Background calculations'!$C$89:$C$92</c:f>
              <c:numCache>
                <c:formatCode>0%</c:formatCode>
                <c:ptCount val="4"/>
                <c:pt idx="0">
                  <c:v>0.37528709791901493</c:v>
                </c:pt>
                <c:pt idx="1">
                  <c:v>0.11204967603941533</c:v>
                </c:pt>
                <c:pt idx="2">
                  <c:v>5.2188259269772212E-2</c:v>
                </c:pt>
                <c:pt idx="3">
                  <c:v>0.4604749667717975</c:v>
                </c:pt>
              </c:numCache>
            </c:numRef>
          </c:val>
          <c:extLst>
            <c:ext xmlns:c16="http://schemas.microsoft.com/office/drawing/2014/chart" uri="{C3380CC4-5D6E-409C-BE32-E72D297353CC}">
              <c16:uniqueId val="{00000008-2DAF-4A60-9C5A-F630F14605A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160" b="0" i="0" u="none" strike="noStrike" kern="1200" cap="none" spc="20" baseline="0">
                <a:solidFill>
                  <a:schemeClr val="tx1">
                    <a:lumMod val="50000"/>
                    <a:lumOff val="50000"/>
                  </a:schemeClr>
                </a:solidFill>
                <a:latin typeface="+mn-lt"/>
                <a:ea typeface="+mn-ea"/>
                <a:cs typeface="+mn-cs"/>
              </a:defRPr>
            </a:pPr>
            <a:r>
              <a:rPr lang="es-ES"/>
              <a:t>Nutritional </a:t>
            </a:r>
            <a:r>
              <a:rPr lang="es-ES" baseline="0"/>
              <a:t>targets overview</a:t>
            </a:r>
            <a:endParaRPr lang="es-ES"/>
          </a:p>
        </c:rich>
      </c:tx>
      <c:overlay val="0"/>
      <c:spPr>
        <a:noFill/>
        <a:ln>
          <a:noFill/>
        </a:ln>
        <a:effectLst/>
      </c:spPr>
      <c:txPr>
        <a:bodyPr rot="0" spcFirstLastPara="1" vertOverflow="ellipsis" vert="horz" wrap="square" anchor="ctr" anchorCtr="1"/>
        <a:lstStyle/>
        <a:p>
          <a:pPr>
            <a:defRPr sz="2160" b="0" i="0" u="none" strike="noStrike" kern="1200" cap="none" spc="20" baseline="0">
              <a:solidFill>
                <a:schemeClr val="tx1">
                  <a:lumMod val="50000"/>
                  <a:lumOff val="50000"/>
                </a:schemeClr>
              </a:solidFill>
              <a:latin typeface="+mn-lt"/>
              <a:ea typeface="+mn-ea"/>
              <a:cs typeface="+mn-cs"/>
            </a:defRPr>
          </a:pPr>
          <a:endParaRPr lang="es-ES"/>
        </a:p>
      </c:txPr>
    </c:title>
    <c:autoTitleDeleted val="0"/>
    <c:plotArea>
      <c:layout/>
      <c:pie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2C4-4A9F-83DF-179213616455}"/>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2C4-4A9F-83DF-179213616455}"/>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2C4-4A9F-83DF-179213616455}"/>
              </c:ext>
            </c:extLst>
          </c:dPt>
          <c:dLbls>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multiLvlStrRef>
              <c:f>'3. Food costs'!$C$37:$D$39</c:f>
              <c:multiLvlStrCache>
                <c:ptCount val="3"/>
                <c:lvl>
                  <c:pt idx="0">
                    <c:v>55 - 75 %</c:v>
                  </c:pt>
                  <c:pt idx="1">
                    <c:v>15 - 30 %</c:v>
                  </c:pt>
                </c:lvl>
                <c:lvl>
                  <c:pt idx="0">
                    <c:v>Energy from Carbohydrates</c:v>
                  </c:pt>
                  <c:pt idx="1">
                    <c:v>Energy from fats</c:v>
                  </c:pt>
                  <c:pt idx="2">
                    <c:v>Energy from proteins</c:v>
                  </c:pt>
                </c:lvl>
              </c:multiLvlStrCache>
            </c:multiLvlStrRef>
          </c:cat>
          <c:val>
            <c:numRef>
              <c:f>'3. Food costs'!$E$37:$E$39</c:f>
              <c:numCache>
                <c:formatCode>0%</c:formatCode>
                <c:ptCount val="3"/>
                <c:pt idx="0">
                  <c:v>0.60567382189625896</c:v>
                </c:pt>
                <c:pt idx="1">
                  <c:v>0.28878968202122285</c:v>
                </c:pt>
                <c:pt idx="2">
                  <c:v>0.10553649608251853</c:v>
                </c:pt>
              </c:numCache>
            </c:numRef>
          </c:val>
          <c:extLst>
            <c:ext xmlns:c16="http://schemas.microsoft.com/office/drawing/2014/chart" uri="{C3380CC4-5D6E-409C-BE32-E72D297353CC}">
              <c16:uniqueId val="{00000000-EE1E-454F-BD99-228E5274E0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4</xdr:col>
      <xdr:colOff>5740400</xdr:colOff>
      <xdr:row>1</xdr:row>
      <xdr:rowOff>8661</xdr:rowOff>
    </xdr:from>
    <xdr:to>
      <xdr:col>4</xdr:col>
      <xdr:colOff>7490692</xdr:colOff>
      <xdr:row>3</xdr:row>
      <xdr:rowOff>52868</xdr:rowOff>
    </xdr:to>
    <xdr:pic>
      <xdr:nvPicPr>
        <xdr:cNvPr id="2" name="Picture 1">
          <a:extLst>
            <a:ext uri="{FF2B5EF4-FFF2-40B4-BE49-F238E27FC236}">
              <a16:creationId xmlns:a16="http://schemas.microsoft.com/office/drawing/2014/main" id="{9E156581-1CF5-429F-9B2A-5653F7B1E57C}"/>
            </a:ext>
          </a:extLst>
        </xdr:cNvPr>
        <xdr:cNvPicPr>
          <a:picLocks noChangeAspect="1"/>
        </xdr:cNvPicPr>
      </xdr:nvPicPr>
      <xdr:blipFill>
        <a:blip xmlns:r="http://schemas.openxmlformats.org/officeDocument/2006/relationships" r:embed="rId1"/>
        <a:stretch>
          <a:fillRect/>
        </a:stretch>
      </xdr:blipFill>
      <xdr:spPr>
        <a:xfrm>
          <a:off x="9042400" y="192811"/>
          <a:ext cx="1750292" cy="10094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410383</xdr:colOff>
      <xdr:row>21</xdr:row>
      <xdr:rowOff>102764</xdr:rowOff>
    </xdr:from>
    <xdr:to>
      <xdr:col>10</xdr:col>
      <xdr:colOff>214838</xdr:colOff>
      <xdr:row>35</xdr:row>
      <xdr:rowOff>228525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38049</xdr:colOff>
      <xdr:row>13</xdr:row>
      <xdr:rowOff>134166</xdr:rowOff>
    </xdr:from>
    <xdr:to>
      <xdr:col>2</xdr:col>
      <xdr:colOff>1013383</xdr:colOff>
      <xdr:row>16</xdr:row>
      <xdr:rowOff>122735</xdr:rowOff>
    </xdr:to>
    <xdr:grpSp>
      <xdr:nvGrpSpPr>
        <xdr:cNvPr id="5" name="Group 4">
          <a:extLst>
            <a:ext uri="{FF2B5EF4-FFF2-40B4-BE49-F238E27FC236}">
              <a16:creationId xmlns:a16="http://schemas.microsoft.com/office/drawing/2014/main" id="{00000000-0008-0000-0100-000005000000}"/>
            </a:ext>
          </a:extLst>
        </xdr:cNvPr>
        <xdr:cNvGrpSpPr/>
      </xdr:nvGrpSpPr>
      <xdr:grpSpPr>
        <a:xfrm>
          <a:off x="503716" y="3309166"/>
          <a:ext cx="975334" cy="560069"/>
          <a:chOff x="1439170" y="3436040"/>
          <a:chExt cx="2508731" cy="1322643"/>
        </a:xfrm>
      </xdr:grpSpPr>
      <xdr:grpSp>
        <xdr:nvGrpSpPr>
          <xdr:cNvPr id="6" name="Group 5">
            <a:extLst>
              <a:ext uri="{FF2B5EF4-FFF2-40B4-BE49-F238E27FC236}">
                <a16:creationId xmlns:a16="http://schemas.microsoft.com/office/drawing/2014/main" id="{00000000-0008-0000-0100-000006000000}"/>
              </a:ext>
            </a:extLst>
          </xdr:cNvPr>
          <xdr:cNvGrpSpPr/>
        </xdr:nvGrpSpPr>
        <xdr:grpSpPr>
          <a:xfrm>
            <a:off x="1556144" y="3502896"/>
            <a:ext cx="2391757" cy="1143000"/>
            <a:chOff x="1335249" y="1850653"/>
            <a:chExt cx="2391757" cy="1143000"/>
          </a:xfrm>
        </xdr:grpSpPr>
        <xdr:pic>
          <xdr:nvPicPr>
            <xdr:cNvPr id="8" name="Picture 7" descr="A picture containing text&#10;&#10;Description automatically generated">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5249" y="1850653"/>
              <a:ext cx="1143000" cy="1143000"/>
            </a:xfrm>
            <a:prstGeom prst="rect">
              <a:avLst/>
            </a:prstGeom>
          </xdr:spPr>
        </xdr:pic>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535524" y="2347322"/>
              <a:ext cx="646331" cy="646331"/>
            </a:xfrm>
            <a:prstGeom prst="rect">
              <a:avLst/>
            </a:prstGeom>
          </xdr:spPr>
        </xdr:pic>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80675" y="2347322"/>
              <a:ext cx="646331" cy="646331"/>
            </a:xfrm>
            <a:prstGeom prst="rect">
              <a:avLst/>
            </a:prstGeom>
          </xdr:spPr>
        </xdr:pic>
      </xdr:grpSp>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1439170" y="3436040"/>
            <a:ext cx="2508731" cy="1322643"/>
          </a:xfrm>
          <a:prstGeom prst="roundRect">
            <a:avLst>
              <a:gd name="adj" fmla="val 6791"/>
            </a:avLst>
          </a:prstGeom>
          <a:noFill/>
          <a:ln w="952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twoCellAnchor editAs="oneCell">
    <xdr:from>
      <xdr:col>7</xdr:col>
      <xdr:colOff>87924</xdr:colOff>
      <xdr:row>0</xdr:row>
      <xdr:rowOff>0</xdr:rowOff>
    </xdr:from>
    <xdr:to>
      <xdr:col>9</xdr:col>
      <xdr:colOff>789734</xdr:colOff>
      <xdr:row>2</xdr:row>
      <xdr:rowOff>45098</xdr:rowOff>
    </xdr:to>
    <xdr:pic>
      <xdr:nvPicPr>
        <xdr:cNvPr id="2" name="Picture 1">
          <a:extLst>
            <a:ext uri="{FF2B5EF4-FFF2-40B4-BE49-F238E27FC236}">
              <a16:creationId xmlns:a16="http://schemas.microsoft.com/office/drawing/2014/main" id="{1E8C84D0-3AC1-41FF-B7F9-A1FE76845BAC}"/>
            </a:ext>
          </a:extLst>
        </xdr:cNvPr>
        <xdr:cNvPicPr>
          <a:picLocks noChangeAspect="1"/>
        </xdr:cNvPicPr>
      </xdr:nvPicPr>
      <xdr:blipFill>
        <a:blip xmlns:r="http://schemas.openxmlformats.org/officeDocument/2006/relationships" r:embed="rId4"/>
        <a:stretch>
          <a:fillRect/>
        </a:stretch>
      </xdr:blipFill>
      <xdr:spPr>
        <a:xfrm>
          <a:off x="6936155" y="0"/>
          <a:ext cx="1750292" cy="10090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71612</xdr:colOff>
      <xdr:row>13</xdr:row>
      <xdr:rowOff>147169</xdr:rowOff>
    </xdr:from>
    <xdr:to>
      <xdr:col>2</xdr:col>
      <xdr:colOff>1208313</xdr:colOff>
      <xdr:row>14</xdr:row>
      <xdr:rowOff>21771</xdr:rowOff>
    </xdr:to>
    <xdr:grpSp>
      <xdr:nvGrpSpPr>
        <xdr:cNvPr id="13" name="Group 12">
          <a:extLst>
            <a:ext uri="{FF2B5EF4-FFF2-40B4-BE49-F238E27FC236}">
              <a16:creationId xmlns:a16="http://schemas.microsoft.com/office/drawing/2014/main" id="{00000000-0008-0000-0200-00000D000000}"/>
            </a:ext>
          </a:extLst>
        </xdr:cNvPr>
        <xdr:cNvGrpSpPr/>
      </xdr:nvGrpSpPr>
      <xdr:grpSpPr>
        <a:xfrm>
          <a:off x="531757" y="3386589"/>
          <a:ext cx="1136701" cy="702863"/>
          <a:chOff x="1439170" y="3436040"/>
          <a:chExt cx="2508731" cy="1322643"/>
        </a:xfrm>
      </xdr:grpSpPr>
      <xdr:grpSp>
        <xdr:nvGrpSpPr>
          <xdr:cNvPr id="14" name="Group 13">
            <a:extLst>
              <a:ext uri="{FF2B5EF4-FFF2-40B4-BE49-F238E27FC236}">
                <a16:creationId xmlns:a16="http://schemas.microsoft.com/office/drawing/2014/main" id="{00000000-0008-0000-0200-00000E000000}"/>
              </a:ext>
            </a:extLst>
          </xdr:cNvPr>
          <xdr:cNvGrpSpPr/>
        </xdr:nvGrpSpPr>
        <xdr:grpSpPr>
          <a:xfrm>
            <a:off x="1556144" y="3502896"/>
            <a:ext cx="2391757" cy="1143000"/>
            <a:chOff x="1335249" y="1850653"/>
            <a:chExt cx="2391757" cy="1143000"/>
          </a:xfrm>
        </xdr:grpSpPr>
        <xdr:pic>
          <xdr:nvPicPr>
            <xdr:cNvPr id="16" name="Picture 15" descr="A picture containing text&#10;&#10;Description automatically generated">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249" y="1850653"/>
              <a:ext cx="1143000" cy="1143000"/>
            </a:xfrm>
            <a:prstGeom prst="rect">
              <a:avLst/>
            </a:prstGeom>
          </xdr:spPr>
        </xdr:pic>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5524" y="2347322"/>
              <a:ext cx="646331" cy="646331"/>
            </a:xfrm>
            <a:prstGeom prst="rect">
              <a:avLst/>
            </a:prstGeom>
          </xdr:spPr>
        </xdr:pic>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80675" y="2347322"/>
              <a:ext cx="646331" cy="646331"/>
            </a:xfrm>
            <a:prstGeom prst="rect">
              <a:avLst/>
            </a:prstGeom>
          </xdr:spPr>
        </xdr:pic>
      </xdr:grpSp>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1439170" y="3436040"/>
            <a:ext cx="2508731" cy="1322643"/>
          </a:xfrm>
          <a:prstGeom prst="roundRect">
            <a:avLst>
              <a:gd name="adj" fmla="val 6791"/>
            </a:avLst>
          </a:prstGeom>
          <a:noFill/>
          <a:ln w="952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twoCellAnchor>
    <xdr:from>
      <xdr:col>8</xdr:col>
      <xdr:colOff>4582583</xdr:colOff>
      <xdr:row>1</xdr:row>
      <xdr:rowOff>179917</xdr:rowOff>
    </xdr:from>
    <xdr:to>
      <xdr:col>8</xdr:col>
      <xdr:colOff>5554107</xdr:colOff>
      <xdr:row>1</xdr:row>
      <xdr:rowOff>712046</xdr:rowOff>
    </xdr:to>
    <xdr:grpSp>
      <xdr:nvGrpSpPr>
        <xdr:cNvPr id="8" name="Group 7">
          <a:extLst>
            <a:ext uri="{FF2B5EF4-FFF2-40B4-BE49-F238E27FC236}">
              <a16:creationId xmlns:a16="http://schemas.microsoft.com/office/drawing/2014/main" id="{3A90323C-CC36-400F-B2FD-D18BE9EC954A}"/>
            </a:ext>
          </a:extLst>
        </xdr:cNvPr>
        <xdr:cNvGrpSpPr/>
      </xdr:nvGrpSpPr>
      <xdr:grpSpPr>
        <a:xfrm>
          <a:off x="11742438" y="363975"/>
          <a:ext cx="971524" cy="532129"/>
          <a:chOff x="1439170" y="3436040"/>
          <a:chExt cx="2508731" cy="1322643"/>
        </a:xfrm>
      </xdr:grpSpPr>
      <xdr:grpSp>
        <xdr:nvGrpSpPr>
          <xdr:cNvPr id="9" name="Group 8">
            <a:extLst>
              <a:ext uri="{FF2B5EF4-FFF2-40B4-BE49-F238E27FC236}">
                <a16:creationId xmlns:a16="http://schemas.microsoft.com/office/drawing/2014/main" id="{6D44719A-56B7-4D3C-8F5A-D89F20F539ED}"/>
              </a:ext>
            </a:extLst>
          </xdr:cNvPr>
          <xdr:cNvGrpSpPr/>
        </xdr:nvGrpSpPr>
        <xdr:grpSpPr>
          <a:xfrm>
            <a:off x="1556144" y="3502896"/>
            <a:ext cx="2391757" cy="1143000"/>
            <a:chOff x="1335249" y="1850653"/>
            <a:chExt cx="2391757" cy="1143000"/>
          </a:xfrm>
        </xdr:grpSpPr>
        <xdr:pic>
          <xdr:nvPicPr>
            <xdr:cNvPr id="11" name="Picture 10" descr="A picture containing text&#10;&#10;Description automatically generated">
              <a:extLst>
                <a:ext uri="{FF2B5EF4-FFF2-40B4-BE49-F238E27FC236}">
                  <a16:creationId xmlns:a16="http://schemas.microsoft.com/office/drawing/2014/main" id="{DD1F2A6F-F2D2-4803-A388-F722D3920C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249" y="1850653"/>
              <a:ext cx="1143000" cy="1143000"/>
            </a:xfrm>
            <a:prstGeom prst="rect">
              <a:avLst/>
            </a:prstGeom>
          </xdr:spPr>
        </xdr:pic>
        <xdr:pic>
          <xdr:nvPicPr>
            <xdr:cNvPr id="12" name="Picture 11">
              <a:extLst>
                <a:ext uri="{FF2B5EF4-FFF2-40B4-BE49-F238E27FC236}">
                  <a16:creationId xmlns:a16="http://schemas.microsoft.com/office/drawing/2014/main" id="{79895C9C-0794-487A-81A8-69AD6D6040D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5524" y="2347322"/>
              <a:ext cx="646331" cy="646331"/>
            </a:xfrm>
            <a:prstGeom prst="rect">
              <a:avLst/>
            </a:prstGeom>
          </xdr:spPr>
        </xdr:pic>
        <xdr:pic>
          <xdr:nvPicPr>
            <xdr:cNvPr id="19" name="Picture 18">
              <a:extLst>
                <a:ext uri="{FF2B5EF4-FFF2-40B4-BE49-F238E27FC236}">
                  <a16:creationId xmlns:a16="http://schemas.microsoft.com/office/drawing/2014/main" id="{1DC442C1-71E1-4A08-932A-B0E88507BE3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80675" y="2347322"/>
              <a:ext cx="646331" cy="646331"/>
            </a:xfrm>
            <a:prstGeom prst="rect">
              <a:avLst/>
            </a:prstGeom>
          </xdr:spPr>
        </xdr:pic>
      </xdr:grpSp>
      <xdr:sp macro="" textlink="">
        <xdr:nvSpPr>
          <xdr:cNvPr id="10" name="Rectangle: Rounded Corners 9">
            <a:extLst>
              <a:ext uri="{FF2B5EF4-FFF2-40B4-BE49-F238E27FC236}">
                <a16:creationId xmlns:a16="http://schemas.microsoft.com/office/drawing/2014/main" id="{3DEC8369-7846-42E0-BB27-C4055407E835}"/>
              </a:ext>
            </a:extLst>
          </xdr:cNvPr>
          <xdr:cNvSpPr/>
        </xdr:nvSpPr>
        <xdr:spPr>
          <a:xfrm>
            <a:off x="1439170" y="3436040"/>
            <a:ext cx="2508731" cy="1322643"/>
          </a:xfrm>
          <a:prstGeom prst="roundRect">
            <a:avLst>
              <a:gd name="adj" fmla="val 6791"/>
            </a:avLst>
          </a:prstGeom>
          <a:noFill/>
          <a:ln w="952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twoCellAnchor>
    <xdr:from>
      <xdr:col>8</xdr:col>
      <xdr:colOff>3640667</xdr:colOff>
      <xdr:row>1</xdr:row>
      <xdr:rowOff>207858</xdr:rowOff>
    </xdr:from>
    <xdr:to>
      <xdr:col>8</xdr:col>
      <xdr:colOff>4277572</xdr:colOff>
      <xdr:row>1</xdr:row>
      <xdr:rowOff>698302</xdr:rowOff>
    </xdr:to>
    <xdr:grpSp>
      <xdr:nvGrpSpPr>
        <xdr:cNvPr id="20" name="Group 19">
          <a:extLst>
            <a:ext uri="{FF2B5EF4-FFF2-40B4-BE49-F238E27FC236}">
              <a16:creationId xmlns:a16="http://schemas.microsoft.com/office/drawing/2014/main" id="{4D47A37A-AF1E-4D05-8949-9C5B92641FC6}"/>
            </a:ext>
          </a:extLst>
        </xdr:cNvPr>
        <xdr:cNvGrpSpPr/>
      </xdr:nvGrpSpPr>
      <xdr:grpSpPr>
        <a:xfrm>
          <a:off x="10800522" y="391916"/>
          <a:ext cx="636905" cy="490444"/>
          <a:chOff x="7219196" y="1544250"/>
          <a:chExt cx="4310523" cy="2916877"/>
        </a:xfrm>
      </xdr:grpSpPr>
      <xdr:sp macro="" textlink="">
        <xdr:nvSpPr>
          <xdr:cNvPr id="21" name="Oval 20">
            <a:extLst>
              <a:ext uri="{FF2B5EF4-FFF2-40B4-BE49-F238E27FC236}">
                <a16:creationId xmlns:a16="http://schemas.microsoft.com/office/drawing/2014/main" id="{C333ABEE-901E-4BDF-AA75-0A33C2C7B5C8}"/>
              </a:ext>
            </a:extLst>
          </xdr:cNvPr>
          <xdr:cNvSpPr/>
        </xdr:nvSpPr>
        <xdr:spPr>
          <a:xfrm rot="20675155">
            <a:off x="7219196" y="1544250"/>
            <a:ext cx="4310523" cy="2916877"/>
          </a:xfrm>
          <a:prstGeom prst="ellipse">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sp macro="" textlink="">
        <xdr:nvSpPr>
          <xdr:cNvPr id="22" name="Oval 21">
            <a:extLst>
              <a:ext uri="{FF2B5EF4-FFF2-40B4-BE49-F238E27FC236}">
                <a16:creationId xmlns:a16="http://schemas.microsoft.com/office/drawing/2014/main" id="{5495DB32-4EC8-476E-9902-488DEE97C56F}"/>
              </a:ext>
            </a:extLst>
          </xdr:cNvPr>
          <xdr:cNvSpPr/>
        </xdr:nvSpPr>
        <xdr:spPr>
          <a:xfrm rot="20675155">
            <a:off x="7848134" y="1651373"/>
            <a:ext cx="3274900" cy="2164198"/>
          </a:xfrm>
          <a:prstGeom prst="ellipse">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sp macro="" textlink="">
        <xdr:nvSpPr>
          <xdr:cNvPr id="23" name="Oval 22">
            <a:extLst>
              <a:ext uri="{FF2B5EF4-FFF2-40B4-BE49-F238E27FC236}">
                <a16:creationId xmlns:a16="http://schemas.microsoft.com/office/drawing/2014/main" id="{CDFABA55-B07D-4694-8C6B-0B9088955618}"/>
              </a:ext>
            </a:extLst>
          </xdr:cNvPr>
          <xdr:cNvSpPr/>
        </xdr:nvSpPr>
        <xdr:spPr>
          <a:xfrm rot="20675155">
            <a:off x="8553557" y="1952157"/>
            <a:ext cx="2023176" cy="1160155"/>
          </a:xfrm>
          <a:prstGeom prst="ellipse">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twoCellAnchor>
    <xdr:from>
      <xdr:col>2</xdr:col>
      <xdr:colOff>43543</xdr:colOff>
      <xdr:row>22</xdr:row>
      <xdr:rowOff>76200</xdr:rowOff>
    </xdr:from>
    <xdr:to>
      <xdr:col>2</xdr:col>
      <xdr:colOff>1180244</xdr:colOff>
      <xdr:row>23</xdr:row>
      <xdr:rowOff>81431</xdr:rowOff>
    </xdr:to>
    <xdr:grpSp>
      <xdr:nvGrpSpPr>
        <xdr:cNvPr id="30" name="Group 29">
          <a:extLst>
            <a:ext uri="{FF2B5EF4-FFF2-40B4-BE49-F238E27FC236}">
              <a16:creationId xmlns:a16="http://schemas.microsoft.com/office/drawing/2014/main" id="{AF8402F3-DE68-4B31-B135-2899D404A2E4}"/>
            </a:ext>
          </a:extLst>
        </xdr:cNvPr>
        <xdr:cNvGrpSpPr/>
      </xdr:nvGrpSpPr>
      <xdr:grpSpPr>
        <a:xfrm>
          <a:off x="503688" y="5579533"/>
          <a:ext cx="1136701" cy="704652"/>
          <a:chOff x="1439170" y="3436040"/>
          <a:chExt cx="2508731" cy="1322643"/>
        </a:xfrm>
      </xdr:grpSpPr>
      <xdr:grpSp>
        <xdr:nvGrpSpPr>
          <xdr:cNvPr id="31" name="Group 30">
            <a:extLst>
              <a:ext uri="{FF2B5EF4-FFF2-40B4-BE49-F238E27FC236}">
                <a16:creationId xmlns:a16="http://schemas.microsoft.com/office/drawing/2014/main" id="{D23C4DD5-9A2F-437F-9795-AB2C62337CC6}"/>
              </a:ext>
            </a:extLst>
          </xdr:cNvPr>
          <xdr:cNvGrpSpPr/>
        </xdr:nvGrpSpPr>
        <xdr:grpSpPr>
          <a:xfrm>
            <a:off x="1556144" y="3502896"/>
            <a:ext cx="2391757" cy="1143000"/>
            <a:chOff x="1335249" y="1850653"/>
            <a:chExt cx="2391757" cy="1143000"/>
          </a:xfrm>
        </xdr:grpSpPr>
        <xdr:pic>
          <xdr:nvPicPr>
            <xdr:cNvPr id="33" name="Picture 32" descr="A picture containing text&#10;&#10;Description automatically generated">
              <a:extLst>
                <a:ext uri="{FF2B5EF4-FFF2-40B4-BE49-F238E27FC236}">
                  <a16:creationId xmlns:a16="http://schemas.microsoft.com/office/drawing/2014/main" id="{D5EE2514-4504-4DCA-8C51-4FF4D0F14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5249" y="1850653"/>
              <a:ext cx="1143000" cy="1143000"/>
            </a:xfrm>
            <a:prstGeom prst="rect">
              <a:avLst/>
            </a:prstGeom>
          </xdr:spPr>
        </xdr:pic>
        <xdr:pic>
          <xdr:nvPicPr>
            <xdr:cNvPr id="34" name="Picture 33">
              <a:extLst>
                <a:ext uri="{FF2B5EF4-FFF2-40B4-BE49-F238E27FC236}">
                  <a16:creationId xmlns:a16="http://schemas.microsoft.com/office/drawing/2014/main" id="{A5B206B7-340F-46B1-92BD-E848603DA2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5524" y="2347322"/>
              <a:ext cx="646331" cy="646331"/>
            </a:xfrm>
            <a:prstGeom prst="rect">
              <a:avLst/>
            </a:prstGeom>
          </xdr:spPr>
        </xdr:pic>
        <xdr:pic>
          <xdr:nvPicPr>
            <xdr:cNvPr id="35" name="Picture 34">
              <a:extLst>
                <a:ext uri="{FF2B5EF4-FFF2-40B4-BE49-F238E27FC236}">
                  <a16:creationId xmlns:a16="http://schemas.microsoft.com/office/drawing/2014/main" id="{C6FD538D-8097-493E-B09A-C3246D1246B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80675" y="2347322"/>
              <a:ext cx="646331" cy="646331"/>
            </a:xfrm>
            <a:prstGeom prst="rect">
              <a:avLst/>
            </a:prstGeom>
          </xdr:spPr>
        </xdr:pic>
      </xdr:grpSp>
      <xdr:sp macro="" textlink="">
        <xdr:nvSpPr>
          <xdr:cNvPr id="32" name="Rectangle: Rounded Corners 31">
            <a:extLst>
              <a:ext uri="{FF2B5EF4-FFF2-40B4-BE49-F238E27FC236}">
                <a16:creationId xmlns:a16="http://schemas.microsoft.com/office/drawing/2014/main" id="{B07442E4-C93A-4E00-AEDA-56EDA8F061C1}"/>
              </a:ext>
            </a:extLst>
          </xdr:cNvPr>
          <xdr:cNvSpPr/>
        </xdr:nvSpPr>
        <xdr:spPr>
          <a:xfrm>
            <a:off x="1439170" y="3436040"/>
            <a:ext cx="2508731" cy="1322643"/>
          </a:xfrm>
          <a:prstGeom prst="roundRect">
            <a:avLst>
              <a:gd name="adj" fmla="val 6791"/>
            </a:avLst>
          </a:prstGeom>
          <a:noFill/>
          <a:ln w="9525">
            <a:solidFill>
              <a:schemeClr val="accent1"/>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171450" indent="-171450" algn="l">
              <a:buFont typeface="Arial" panose="020B0604020202020204" pitchFamily="34" charset="0"/>
              <a:buChar char="•"/>
            </a:pPr>
            <a:endParaRPr lang="en-US" sz="1200">
              <a:solidFill>
                <a:schemeClr val="tx2"/>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115009</xdr:colOff>
      <xdr:row>0</xdr:row>
      <xdr:rowOff>177210</xdr:rowOff>
    </xdr:from>
    <xdr:to>
      <xdr:col>2</xdr:col>
      <xdr:colOff>702767</xdr:colOff>
      <xdr:row>1</xdr:row>
      <xdr:rowOff>703520</xdr:rowOff>
    </xdr:to>
    <xdr:pic>
      <xdr:nvPicPr>
        <xdr:cNvPr id="5" name="Picture 4" descr="A picture containing text, sign&#10;&#10;Description automatically generated">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3358" y="177210"/>
          <a:ext cx="720000" cy="720000"/>
        </a:xfrm>
        <a:prstGeom prst="rect">
          <a:avLst/>
        </a:prstGeom>
      </xdr:spPr>
    </xdr:pic>
    <xdr:clientData/>
  </xdr:twoCellAnchor>
  <xdr:twoCellAnchor editAs="oneCell">
    <xdr:from>
      <xdr:col>2</xdr:col>
      <xdr:colOff>11391</xdr:colOff>
      <xdr:row>8</xdr:row>
      <xdr:rowOff>40822</xdr:rowOff>
    </xdr:from>
    <xdr:to>
      <xdr:col>2</xdr:col>
      <xdr:colOff>420167</xdr:colOff>
      <xdr:row>8</xdr:row>
      <xdr:rowOff>476365</xdr:rowOff>
    </xdr:to>
    <xdr:pic>
      <xdr:nvPicPr>
        <xdr:cNvPr id="14" name="Picture 13" descr="A picture containing text, sign&#10;&#10;Description automatically generated">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7962" y="2163536"/>
          <a:ext cx="408776" cy="427923"/>
        </a:xfrm>
        <a:prstGeom prst="rect">
          <a:avLst/>
        </a:prstGeom>
      </xdr:spPr>
    </xdr:pic>
    <xdr:clientData/>
  </xdr:twoCellAnchor>
  <xdr:twoCellAnchor>
    <xdr:from>
      <xdr:col>6</xdr:col>
      <xdr:colOff>518705</xdr:colOff>
      <xdr:row>13</xdr:row>
      <xdr:rowOff>62591</xdr:rowOff>
    </xdr:from>
    <xdr:to>
      <xdr:col>10</xdr:col>
      <xdr:colOff>113212</xdr:colOff>
      <xdr:row>27</xdr:row>
      <xdr:rowOff>97972</xdr:rowOff>
    </xdr:to>
    <xdr:graphicFrame macro="">
      <xdr:nvGraphicFramePr>
        <xdr:cNvPr id="19" name="Chart 18">
          <a:extLst>
            <a:ext uri="{FF2B5EF4-FFF2-40B4-BE49-F238E27FC236}">
              <a16:creationId xmlns:a16="http://schemas.microsoft.com/office/drawing/2014/main" id="{00000000-0008-0000-04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1484812</xdr:colOff>
      <xdr:row>10</xdr:row>
      <xdr:rowOff>145870</xdr:rowOff>
    </xdr:from>
    <xdr:to>
      <xdr:col>9</xdr:col>
      <xdr:colOff>283845</xdr:colOff>
      <xdr:row>13</xdr:row>
      <xdr:rowOff>25310</xdr:rowOff>
    </xdr:to>
    <xdr:sp macro="" textlink="">
      <xdr:nvSpPr>
        <xdr:cNvPr id="3" name="TextBox 2">
          <a:extLst>
            <a:ext uri="{FF2B5EF4-FFF2-40B4-BE49-F238E27FC236}">
              <a16:creationId xmlns:a16="http://schemas.microsoft.com/office/drawing/2014/main" id="{51B1A2CE-7CE0-4441-81A5-A5B338CB4D7C}"/>
            </a:ext>
          </a:extLst>
        </xdr:cNvPr>
        <xdr:cNvSpPr txBox="1"/>
      </xdr:nvSpPr>
      <xdr:spPr>
        <a:xfrm>
          <a:off x="8519705" y="2976156"/>
          <a:ext cx="2445747" cy="5325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u="sng">
              <a:solidFill>
                <a:schemeClr val="accent5">
                  <a:lumMod val="50000"/>
                </a:schemeClr>
              </a:solidFill>
            </a:rPr>
            <a:t>Share of Housing Costs</a:t>
          </a:r>
          <a:endParaRPr lang="en-NL" sz="1800" b="1" u="sng">
            <a:solidFill>
              <a:schemeClr val="accent5">
                <a:lumMod val="50000"/>
              </a:schemeClr>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100710</xdr:colOff>
      <xdr:row>0</xdr:row>
      <xdr:rowOff>116493</xdr:rowOff>
    </xdr:from>
    <xdr:to>
      <xdr:col>1</xdr:col>
      <xdr:colOff>627162</xdr:colOff>
      <xdr:row>1</xdr:row>
      <xdr:rowOff>664393</xdr:rowOff>
    </xdr:to>
    <xdr:pic>
      <xdr:nvPicPr>
        <xdr:cNvPr id="2" name="Picture 1" descr="A picture containing text, sign&#10;&#10;Description automatically generated">
          <a:extLst>
            <a:ext uri="{FF2B5EF4-FFF2-40B4-BE49-F238E27FC236}">
              <a16:creationId xmlns:a16="http://schemas.microsoft.com/office/drawing/2014/main" id="{3D87B964-ABB8-4F1E-A198-BDC28FBE04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10" y="116493"/>
          <a:ext cx="766828" cy="7460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16329</xdr:colOff>
      <xdr:row>9</xdr:row>
      <xdr:rowOff>46537</xdr:rowOff>
    </xdr:from>
    <xdr:to>
      <xdr:col>2</xdr:col>
      <xdr:colOff>474042</xdr:colOff>
      <xdr:row>9</xdr:row>
      <xdr:rowOff>476129</xdr:rowOff>
    </xdr:to>
    <xdr:pic>
      <xdr:nvPicPr>
        <xdr:cNvPr id="8" name="Picture 7" descr="Icon&#10;&#10;Description automatically generated">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 y="3529966"/>
          <a:ext cx="457713" cy="429592"/>
        </a:xfrm>
        <a:prstGeom prst="rect">
          <a:avLst/>
        </a:prstGeom>
      </xdr:spPr>
    </xdr:pic>
    <xdr:clientData/>
  </xdr:twoCellAnchor>
  <xdr:twoCellAnchor editAs="oneCell">
    <xdr:from>
      <xdr:col>1</xdr:col>
      <xdr:colOff>97969</xdr:colOff>
      <xdr:row>1</xdr:row>
      <xdr:rowOff>32657</xdr:rowOff>
    </xdr:from>
    <xdr:to>
      <xdr:col>2</xdr:col>
      <xdr:colOff>664026</xdr:colOff>
      <xdr:row>1</xdr:row>
      <xdr:rowOff>740228</xdr:rowOff>
    </xdr:to>
    <xdr:pic>
      <xdr:nvPicPr>
        <xdr:cNvPr id="9" name="Picture 8" descr="Icon&#10;&#10;Description automatically generated">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3026" y="217714"/>
          <a:ext cx="707571" cy="707571"/>
        </a:xfrm>
        <a:prstGeom prst="rect">
          <a:avLst/>
        </a:prstGeom>
      </xdr:spPr>
    </xdr:pic>
    <xdr:clientData/>
  </xdr:twoCellAnchor>
  <xdr:twoCellAnchor>
    <xdr:from>
      <xdr:col>8</xdr:col>
      <xdr:colOff>512170</xdr:colOff>
      <xdr:row>7</xdr:row>
      <xdr:rowOff>95251</xdr:rowOff>
    </xdr:from>
    <xdr:to>
      <xdr:col>15</xdr:col>
      <xdr:colOff>775606</xdr:colOff>
      <xdr:row>28</xdr:row>
      <xdr:rowOff>58238</xdr:rowOff>
    </xdr:to>
    <xdr:graphicFrame macro="">
      <xdr:nvGraphicFramePr>
        <xdr:cNvPr id="2" name="Chart 1">
          <a:extLst>
            <a:ext uri="{FF2B5EF4-FFF2-40B4-BE49-F238E27FC236}">
              <a16:creationId xmlns:a16="http://schemas.microsoft.com/office/drawing/2014/main" id="{5A5B244B-53BD-401D-BD26-C8442ADD21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33544</xdr:colOff>
      <xdr:row>1</xdr:row>
      <xdr:rowOff>174134</xdr:rowOff>
    </xdr:from>
    <xdr:to>
      <xdr:col>0</xdr:col>
      <xdr:colOff>801132</xdr:colOff>
      <xdr:row>2</xdr:row>
      <xdr:rowOff>745508</xdr:rowOff>
    </xdr:to>
    <xdr:pic>
      <xdr:nvPicPr>
        <xdr:cNvPr id="2" name="Picture 1" descr="A picture containing text, sign&#10;&#10;Description automatically generated">
          <a:extLst>
            <a:ext uri="{FF2B5EF4-FFF2-40B4-BE49-F238E27FC236}">
              <a16:creationId xmlns:a16="http://schemas.microsoft.com/office/drawing/2014/main" id="{B5486896-9E1E-4AA3-83DB-AF16FF664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8060" y="358489"/>
          <a:ext cx="767588" cy="74810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29</xdr:col>
      <xdr:colOff>9525</xdr:colOff>
      <xdr:row>5</xdr:row>
      <xdr:rowOff>1211580</xdr:rowOff>
    </xdr:from>
    <xdr:to>
      <xdr:col>30</xdr:col>
      <xdr:colOff>757476</xdr:colOff>
      <xdr:row>6</xdr:row>
      <xdr:rowOff>60960</xdr:rowOff>
    </xdr:to>
    <xdr:cxnSp macro="">
      <xdr:nvCxnSpPr>
        <xdr:cNvPr id="5" name="Connector: Elbow 4" descr="1bd25211-f9f7-4345-9d08-223ebe73e04b">
          <a:extLst>
            <a:ext uri="{FF2B5EF4-FFF2-40B4-BE49-F238E27FC236}">
              <a16:creationId xmlns:a16="http://schemas.microsoft.com/office/drawing/2014/main" id="{00000000-0008-0000-0A00-000005000000}"/>
            </a:ext>
          </a:extLst>
        </xdr:cNvPr>
        <xdr:cNvCxnSpPr>
          <a:cxnSpLocks/>
          <a:stCxn id="9" idx="6"/>
          <a:endCxn id="7" idx="0"/>
        </xdr:cNvCxnSpPr>
      </xdr:nvCxnSpPr>
      <xdr:spPr>
        <a:xfrm>
          <a:off x="25826085" y="2735580"/>
          <a:ext cx="1464231" cy="1120140"/>
        </a:xfrm>
        <a:prstGeom prst="bentConnector2">
          <a:avLst/>
        </a:prstGeom>
        <a:ln w="28575">
          <a:solidFill>
            <a:srgbClr val="C00000"/>
          </a:solidFill>
          <a:prstDash val="dash"/>
          <a:miter lim="800000"/>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471726</xdr:colOff>
      <xdr:row>6</xdr:row>
      <xdr:rowOff>60960</xdr:rowOff>
    </xdr:from>
    <xdr:to>
      <xdr:col>30</xdr:col>
      <xdr:colOff>1043226</xdr:colOff>
      <xdr:row>8</xdr:row>
      <xdr:rowOff>139898</xdr:rowOff>
    </xdr:to>
    <xdr:sp macro="" textlink="">
      <xdr:nvSpPr>
        <xdr:cNvPr id="7" name="Oval 6" descr="2068c57e-a9de-4baf-9f43-592e51d45cd8">
          <a:extLst>
            <a:ext uri="{FF2B5EF4-FFF2-40B4-BE49-F238E27FC236}">
              <a16:creationId xmlns:a16="http://schemas.microsoft.com/office/drawing/2014/main" id="{00000000-0008-0000-0A00-000007000000}"/>
            </a:ext>
          </a:extLst>
        </xdr:cNvPr>
        <xdr:cNvSpPr/>
      </xdr:nvSpPr>
      <xdr:spPr>
        <a:xfrm>
          <a:off x="27004566" y="3855720"/>
          <a:ext cx="571500" cy="444698"/>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28</xdr:col>
      <xdr:colOff>1876425</xdr:colOff>
      <xdr:row>5</xdr:row>
      <xdr:rowOff>152400</xdr:rowOff>
    </xdr:from>
    <xdr:to>
      <xdr:col>29</xdr:col>
      <xdr:colOff>9525</xdr:colOff>
      <xdr:row>6</xdr:row>
      <xdr:rowOff>0</xdr:rowOff>
    </xdr:to>
    <xdr:sp macro="" textlink="">
      <xdr:nvSpPr>
        <xdr:cNvPr id="9" name="Oval 8" descr="109200ed-a442-4877-b1e1-fbd56dad9adc">
          <a:extLst>
            <a:ext uri="{FF2B5EF4-FFF2-40B4-BE49-F238E27FC236}">
              <a16:creationId xmlns:a16="http://schemas.microsoft.com/office/drawing/2014/main" id="{00000000-0008-0000-0A00-000009000000}"/>
            </a:ext>
          </a:extLst>
        </xdr:cNvPr>
        <xdr:cNvSpPr/>
      </xdr:nvSpPr>
      <xdr:spPr>
        <a:xfrm>
          <a:off x="24288750" y="1057275"/>
          <a:ext cx="571500" cy="561975"/>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954405</xdr:colOff>
      <xdr:row>2</xdr:row>
      <xdr:rowOff>27860</xdr:rowOff>
    </xdr:from>
    <xdr:to>
      <xdr:col>1</xdr:col>
      <xdr:colOff>1696810</xdr:colOff>
      <xdr:row>2</xdr:row>
      <xdr:rowOff>732891</xdr:rowOff>
    </xdr:to>
    <xdr:pic>
      <xdr:nvPicPr>
        <xdr:cNvPr id="6" name="Picture 5" descr="Icon&#10;&#10;Description automatically generated">
          <a:extLst>
            <a:ext uri="{FF2B5EF4-FFF2-40B4-BE49-F238E27FC236}">
              <a16:creationId xmlns:a16="http://schemas.microsoft.com/office/drawing/2014/main" id="{78A13F85-865E-4312-A5DB-0DE218CF4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3702" y="385048"/>
          <a:ext cx="738595" cy="7151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166549</xdr:colOff>
      <xdr:row>1</xdr:row>
      <xdr:rowOff>25037</xdr:rowOff>
    </xdr:from>
    <xdr:to>
      <xdr:col>2</xdr:col>
      <xdr:colOff>459335</xdr:colOff>
      <xdr:row>1</xdr:row>
      <xdr:rowOff>744038</xdr:rowOff>
    </xdr:to>
    <xdr:pic>
      <xdr:nvPicPr>
        <xdr:cNvPr id="2" name="Picture 1" descr="Icon&#10;&#10;Description automatically generated">
          <a:extLst>
            <a:ext uri="{FF2B5EF4-FFF2-40B4-BE49-F238E27FC236}">
              <a16:creationId xmlns:a16="http://schemas.microsoft.com/office/drawing/2014/main" id="{45880BA3-EF10-432A-9500-C7EECA9D8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6549" y="207917"/>
          <a:ext cx="714647" cy="71138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127001</xdr:colOff>
      <xdr:row>1</xdr:row>
      <xdr:rowOff>25401</xdr:rowOff>
    </xdr:from>
    <xdr:to>
      <xdr:col>2</xdr:col>
      <xdr:colOff>707390</xdr:colOff>
      <xdr:row>2</xdr:row>
      <xdr:rowOff>66932</xdr:rowOff>
    </xdr:to>
    <xdr:pic>
      <xdr:nvPicPr>
        <xdr:cNvPr id="14" name="Picture 13">
          <a:extLst>
            <a:ext uri="{FF2B5EF4-FFF2-40B4-BE49-F238E27FC236}">
              <a16:creationId xmlns:a16="http://schemas.microsoft.com/office/drawing/2014/main" id="{0D990A19-138C-408B-B0A5-171B76B53285}"/>
            </a:ext>
          </a:extLst>
        </xdr:cNvPr>
        <xdr:cNvPicPr>
          <a:picLocks noChangeAspect="1"/>
        </xdr:cNvPicPr>
      </xdr:nvPicPr>
      <xdr:blipFill>
        <a:blip xmlns:r="http://schemas.openxmlformats.org/officeDocument/2006/relationships" r:embed="rId1"/>
        <a:stretch>
          <a:fillRect/>
        </a:stretch>
      </xdr:blipFill>
      <xdr:spPr>
        <a:xfrm>
          <a:off x="304801" y="203201"/>
          <a:ext cx="723899" cy="806071"/>
        </a:xfrm>
        <a:prstGeom prst="rect">
          <a:avLst/>
        </a:prstGeom>
      </xdr:spPr>
    </xdr:pic>
    <xdr:clientData/>
  </xdr:twoCellAnchor>
  <xdr:twoCellAnchor editAs="oneCell">
    <xdr:from>
      <xdr:col>1</xdr:col>
      <xdr:colOff>88901</xdr:colOff>
      <xdr:row>10</xdr:row>
      <xdr:rowOff>50802</xdr:rowOff>
    </xdr:from>
    <xdr:to>
      <xdr:col>2</xdr:col>
      <xdr:colOff>440690</xdr:colOff>
      <xdr:row>10</xdr:row>
      <xdr:rowOff>592164</xdr:rowOff>
    </xdr:to>
    <xdr:pic>
      <xdr:nvPicPr>
        <xdr:cNvPr id="15" name="Picture 14">
          <a:extLst>
            <a:ext uri="{FF2B5EF4-FFF2-40B4-BE49-F238E27FC236}">
              <a16:creationId xmlns:a16="http://schemas.microsoft.com/office/drawing/2014/main" id="{5BBC09FC-75A8-4ECC-ADA6-3352FB0C2BBE}"/>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blip>
        <a:stretch>
          <a:fillRect/>
        </a:stretch>
      </xdr:blipFill>
      <xdr:spPr>
        <a:xfrm>
          <a:off x="266701" y="2527302"/>
          <a:ext cx="495299" cy="5515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https://newforesight.sharepoint.com/Users/Newforesight/Sync/000%20Projects%20-%20What%20we%20do/010%20Current%20projects/Palladium,%20Phase%201,%20Uganda%20Living%20Income%20Benchmarking/7.%20Tool/210615%20Living%20income%20proxy%20benchmarking%20tool%20v6%20DDM_AA.xlsx?5DFC0407" TargetMode="External"/><Relationship Id="rId1" Type="http://schemas.openxmlformats.org/officeDocument/2006/relationships/externalLinkPath" Target="file:///5DFC0407/210615%20Living%20income%20proxy%20benchmarking%20tool%20v6%20DDM_A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Users/Angie%20Lopez/Downloads/LW%20Benchmark%20tool_tax%20example.xlsx" TargetMode="External"/><Relationship Id="rId2" Type="http://schemas.openxmlformats.org/officeDocument/2006/relationships/externalLinkPath" Target="file:///C:/Users/Angie%20Lopez/Downloads/LW%20Benchmark%20tool_tax%20example.xlsx" TargetMode="External"/><Relationship Id="rId1" Type="http://schemas.openxmlformats.org/officeDocument/2006/relationships/externalLinkPath" Target="/Users/Angie%20Lopez/Downloads/LW%20Benchmark%20tool_tax%20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ving wage"/>
      <sheetName val="Household"/>
      <sheetName val="Housing"/>
      <sheetName val="Decent house"/>
      <sheetName val="Cost of living survey"/>
      <sheetName val="CL filled in Survey"/>
      <sheetName val="Cost of living - Price analysis"/>
      <sheetName val="Food"/>
      <sheetName val="food - Price analysis"/>
      <sheetName val="NFNH"/>
      <sheetName val="LISTS"/>
      <sheetName val="Income tax"/>
      <sheetName val="ANKER - INPUTS &amp; Prelim Diet"/>
    </sheetNames>
    <sheetDataSet>
      <sheetData sheetId="0"/>
      <sheetData sheetId="1"/>
      <sheetData sheetId="2"/>
      <sheetData sheetId="3"/>
      <sheetData sheetId="4"/>
      <sheetData sheetId="5"/>
      <sheetData sheetId="6"/>
      <sheetData sheetId="7"/>
      <sheetData sheetId="8"/>
      <sheetData sheetId="9"/>
      <sheetData sheetId="10"/>
      <sheetData sheetId="11">
        <row r="5">
          <cell r="L5" t="str">
            <v>ZAR</v>
          </cell>
        </row>
        <row r="6">
          <cell r="F6" t="str">
            <v>Income</v>
          </cell>
          <cell r="G6" t="str">
            <v>Tax rate</v>
          </cell>
          <cell r="H6" t="str">
            <v>Cumulative tax</v>
          </cell>
        </row>
        <row r="7">
          <cell r="F7">
            <v>1</v>
          </cell>
          <cell r="G7">
            <v>0.18</v>
          </cell>
          <cell r="H7">
            <v>0</v>
          </cell>
        </row>
        <row r="8">
          <cell r="F8">
            <v>216200</v>
          </cell>
          <cell r="G8">
            <v>0.26</v>
          </cell>
          <cell r="H8">
            <v>38915.82</v>
          </cell>
        </row>
        <row r="9">
          <cell r="F9">
            <v>337800</v>
          </cell>
          <cell r="G9">
            <v>0.31</v>
          </cell>
          <cell r="H9">
            <v>70531.56</v>
          </cell>
        </row>
        <row r="10">
          <cell r="F10">
            <v>467500</v>
          </cell>
          <cell r="G10">
            <v>0.36</v>
          </cell>
          <cell r="H10">
            <v>110738.25</v>
          </cell>
        </row>
        <row r="11">
          <cell r="F11">
            <v>613600</v>
          </cell>
          <cell r="G11">
            <v>0.39</v>
          </cell>
          <cell r="H11">
            <v>163333.89000000001</v>
          </cell>
        </row>
        <row r="12">
          <cell r="F12">
            <v>782200</v>
          </cell>
          <cell r="G12">
            <v>0.41</v>
          </cell>
          <cell r="H12">
            <v>229087.5</v>
          </cell>
        </row>
      </sheetData>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uidance"/>
      <sheetName val="OUTPUT_Living wage"/>
      <sheetName val="1. Setting the boundaries"/>
      <sheetName val="2. Housing costs"/>
      <sheetName val="Decent housing"/>
      <sheetName val="CLS - Input data"/>
      <sheetName val="3. Food costs"/>
      <sheetName val="Food costs - Input data"/>
      <sheetName val="Nutritional input"/>
      <sheetName val="4. NFNH costs"/>
      <sheetName val="Background calculations"/>
      <sheetName val="CPIs"/>
      <sheetName val="5. Income tax"/>
      <sheetName val="Calories"/>
      <sheetName val="5. Income tax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7">
          <cell r="F27" t="str">
            <v>Income</v>
          </cell>
          <cell r="G27" t="str">
            <v>Tax rate</v>
          </cell>
          <cell r="H27" t="str">
            <v>Cumulative tax</v>
          </cell>
        </row>
        <row r="28">
          <cell r="F28">
            <v>0</v>
          </cell>
          <cell r="G28">
            <v>0</v>
          </cell>
          <cell r="H28">
            <v>0</v>
          </cell>
        </row>
        <row r="29">
          <cell r="F29">
            <v>199038</v>
          </cell>
          <cell r="G29">
            <v>0.15</v>
          </cell>
          <cell r="H29">
            <v>1E-4</v>
          </cell>
        </row>
        <row r="30">
          <cell r="F30">
            <v>303499.90000000002</v>
          </cell>
          <cell r="G30">
            <v>0.2</v>
          </cell>
          <cell r="H30">
            <v>15669.063200000001</v>
          </cell>
        </row>
        <row r="31">
          <cell r="F31">
            <v>705813.76</v>
          </cell>
          <cell r="G31">
            <v>0.25</v>
          </cell>
          <cell r="H31">
            <v>96131.833300000028</v>
          </cell>
        </row>
        <row r="32">
          <cell r="F32">
            <v>999999999999</v>
          </cell>
          <cell r="H32">
            <v>249999919678.1409</v>
          </cell>
        </row>
      </sheetData>
      <sheetData sheetId="13"/>
      <sheetData sheetId="14"/>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407E15-7E50-4207-A67D-CBC280E3ABBA}" name="Table2" displayName="Table2" ref="B147:Q200" totalsRowShown="0" headerRowDxfId="32" dataDxfId="31">
  <autoFilter ref="B147:Q200" xr:uid="{BD407E15-7E50-4207-A67D-CBC280E3ABBA}"/>
  <tableColumns count="16">
    <tableColumn id="1" xr3:uid="{2CDC05CE-817B-423F-9A4E-2EE9DA7B79FC}" name="Category" dataDxfId="30">
      <calculatedColumnFormula>'Food costs - Input data'!B11</calculatedColumnFormula>
    </tableColumn>
    <tableColumn id="2" xr3:uid="{B2AE15CF-A773-4720-BD7B-3A2E2CCA52AF}" name="Item" dataDxfId="29">
      <calculatedColumnFormula>'Food costs - Input data'!C11</calculatedColumnFormula>
    </tableColumn>
    <tableColumn id="3" xr3:uid="{5DF2BCB3-74C9-4682-A38D-D50B5A3EDEAE}" name="Availability" dataDxfId="28">
      <calculatedColumnFormula>COUNTA('Food costs - Input data'!D11:AB11)</calculatedColumnFormula>
    </tableColumn>
    <tableColumn id="4" xr3:uid="{005FA15F-AE35-458C-B78A-FE280AB1A133}" name="Most availble in category" dataDxfId="27">
      <calculatedColumnFormula>_xlfn.MAXIFS(Table2[Availability],Table2[Category],Table2[[#This Row],[Category]])</calculatedColumnFormula>
    </tableColumn>
    <tableColumn id="5" xr3:uid="{47975DC8-F377-449D-97D5-5C5AAA160FB5}" name="Widely available?" dataDxfId="26">
      <calculatedColumnFormula>Table2[[#This Row],[Availability]] &gt;= 0.25*Table2[[#This Row],[Most availble in category]]</calculatedColumnFormula>
    </tableColumn>
    <tableColumn id="9" xr3:uid="{8717C7CE-1BF4-4582-9D52-67F95780CDA3}" name="Energy (kcal) per 100g edible portion" dataDxfId="25">
      <calculatedColumnFormula>(Table2[[#This Row],[Protein (g)]] * 4 +Table2[[#This Row],[Fat, total (g)]] * 9 + Table2[[#This Row],[Carbohydrate (g)]] *4 )</calculatedColumnFormula>
    </tableColumn>
    <tableColumn id="10" xr3:uid="{295C29E3-3E9D-4F65-AC31-FA908B9F4B56}" name="Protein (g)" dataDxfId="24">
      <calculatedColumnFormula>'Nutritional input'!E30</calculatedColumnFormula>
    </tableColumn>
    <tableColumn id="11" xr3:uid="{0D3A518D-FA99-430E-A0AD-E2095B9A97D8}" name="Fat, total (g)" dataDxfId="23">
      <calculatedColumnFormula>'Nutritional input'!F30</calculatedColumnFormula>
    </tableColumn>
    <tableColumn id="12" xr3:uid="{EF293144-EF99-46DA-8864-96B34CEEB01D}" name="Carbohydrate (g)" dataDxfId="22">
      <calculatedColumnFormula>'Nutritional input'!G30</calculatedColumnFormula>
    </tableColumn>
    <tableColumn id="13" xr3:uid="{C0F47AAD-84EE-4715-8F5A-0E70FC744D8E}" name="Edible portion" dataDxfId="21">
      <calculatedColumnFormula>'Nutritional input'!H30</calculatedColumnFormula>
    </tableColumn>
    <tableColumn id="14" xr3:uid="{97027C86-DE3B-443C-9EC4-17282822D0CB}" name="Price per calorie" dataDxfId="20" dataCellStyle="Comma">
      <calculatedColumnFormula>IFERROR((_xlfn.XLOOKUP(Table2[[#This Row],[Item]],'Food costs - Input data'!C:C,'Food costs - Input data'!AE:AE)/Table2[[#This Row],[Edible portion]]) / (10*Table2[[#This Row],[Energy (kcal) per 100g edible portion]]),0)</calculatedColumnFormula>
    </tableColumn>
    <tableColumn id="22" xr3:uid="{7C878E8B-E179-4654-A466-8135CB25CFF4}" name="Caloric content2" dataDxfId="19">
      <calculatedColumnFormula array="1">SUMPRODUCT((Table2[Category]=Table2[[#This Row],[Category]])*(Table2[[#This Row],[Price per calorie]]&gt;Table2[Price per calorie]))+1</calculatedColumnFormula>
    </tableColumn>
    <tableColumn id="28" xr3:uid="{8BC6E038-E2C4-44C1-9DCF-C3807435DB13}" name="Count false" dataDxfId="18">
      <calculatedColumnFormula>IF(Table2[[#This Row],[Widely available?]]=FALSE,1,0)</calculatedColumnFormula>
    </tableColumn>
    <tableColumn id="29" xr3:uid="{6B906FED-2938-4217-A150-B5D41AD0E561}" name="subtract" dataDxfId="17">
      <calculatedColumnFormula>SUMIFS(Table2[Count false],Table2[Category],Table2[[#This Row],[Category]],Table2[Caloric content2],"&lt;"&amp;Table2[[#This Row],[Caloric content2]])</calculatedColumnFormula>
    </tableColumn>
    <tableColumn id="30" xr3:uid="{AC4FB107-FA0B-4941-B542-623D720B6338}" name="Final rank" dataDxfId="16">
      <calculatedColumnFormula>IF(Table2[[#This Row],[Widely available?]]=TRUE,Table2[[#This Row],[Caloric content2]]-Table2[[#This Row],[subtract]],0)</calculatedColumnFormula>
    </tableColumn>
    <tableColumn id="33" xr3:uid="{640B90D6-4E15-49AD-B498-DDF76F971CD5}" name="lookup" dataDxfId="15">
      <calculatedColumnFormula>IF(Table2[[#This Row],[Final rank]]&gt;0,Table2[[#This Row],[Category]]&amp;Table2[[#This Row],[Final rank]],"")</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1FEE656-A68E-4026-86B3-49432776ACB7}">
  <we:reference id="WA200010215" version="2.0.0.0" store="Omex"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1.oanda.com/currency/converter/"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rshiny.ilo.org/dataexplorer/?lang=en" TargetMode="External"/><Relationship Id="rId1" Type="http://schemas.openxmlformats.org/officeDocument/2006/relationships/hyperlink" Target="https://globaldatalab.org/areadata/hhsize/?levels=1%2B2%2B3%2B5%2B4&amp;interpolation=1&amp;extrapolation=1&amp;extrapolation_years=3&amp;nearest_real=0"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www.fao.org/infoods/infoods/tables-and-databases/africa/en/" TargetMode="External"/><Relationship Id="rId2" Type="http://schemas.openxmlformats.org/officeDocument/2006/relationships/hyperlink" Target="https://reedir.arsnet.usda.gov/codesearchwebapp/(S(quhg4cjj0v0s2mbsualpdgns))/codesearch.aspx" TargetMode="External"/><Relationship Id="rId1" Type="http://schemas.openxmlformats.org/officeDocument/2006/relationships/hyperlink" Target="https://en.wikipedia.org/wiki/Average_human_height_by_country" TargetMode="External"/><Relationship Id="rId5" Type="http://schemas.openxmlformats.org/officeDocument/2006/relationships/drawing" Target="../drawings/drawing9.xml"/><Relationship Id="rId4"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8.bin"/><Relationship Id="rId1" Type="http://schemas.openxmlformats.org/officeDocument/2006/relationships/hyperlink" Target="https://data.imf.org/?sk=4FFB52B2-3653-409A-B471-D47B46D904B5&amp;sId=1485878802128"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D41D4-3A49-44AB-B6D3-DD8EF1559B49}">
  <sheetPr>
    <tabColor theme="0" tint="-0.14999847407452621"/>
  </sheetPr>
  <dimension ref="C2:E30"/>
  <sheetViews>
    <sheetView showGridLines="0" zoomScale="77" zoomScaleNormal="77" workbookViewId="0">
      <selection activeCell="E30" sqref="E30"/>
    </sheetView>
  </sheetViews>
  <sheetFormatPr baseColWidth="10" defaultColWidth="8.83203125" defaultRowHeight="15" x14ac:dyDescent="0.2"/>
  <cols>
    <col min="1" max="2" width="8.83203125" style="354"/>
    <col min="3" max="3" width="27.83203125" style="354" customWidth="1"/>
    <col min="4" max="4" width="1.83203125" style="354" customWidth="1"/>
    <col min="5" max="5" width="107.5" style="354" customWidth="1"/>
    <col min="6" max="10" width="8.83203125" style="354"/>
    <col min="11" max="11" width="19.83203125" style="354" customWidth="1"/>
    <col min="12" max="16384" width="8.83203125" style="354"/>
  </cols>
  <sheetData>
    <row r="2" spans="3:5" ht="62" x14ac:dyDescent="0.7">
      <c r="C2" s="378" t="s">
        <v>526</v>
      </c>
    </row>
    <row r="4" spans="3:5" x14ac:dyDescent="0.2">
      <c r="C4" s="379" t="s">
        <v>415</v>
      </c>
    </row>
    <row r="5" spans="3:5" x14ac:dyDescent="0.2">
      <c r="C5" s="380"/>
    </row>
    <row r="6" spans="3:5" x14ac:dyDescent="0.2">
      <c r="C6" s="380" t="s">
        <v>424</v>
      </c>
      <c r="E6" s="381" t="s">
        <v>423</v>
      </c>
    </row>
    <row r="7" spans="3:5" x14ac:dyDescent="0.2">
      <c r="C7" s="382" t="s">
        <v>416</v>
      </c>
      <c r="E7" s="383" t="s">
        <v>540</v>
      </c>
    </row>
    <row r="8" spans="3:5" x14ac:dyDescent="0.2">
      <c r="C8" s="384" t="s">
        <v>417</v>
      </c>
      <c r="E8" s="383" t="s">
        <v>541</v>
      </c>
    </row>
    <row r="9" spans="3:5" x14ac:dyDescent="0.2">
      <c r="C9" s="384" t="s">
        <v>418</v>
      </c>
      <c r="E9" s="383" t="s">
        <v>511</v>
      </c>
    </row>
    <row r="10" spans="3:5" x14ac:dyDescent="0.2">
      <c r="C10" s="385" t="s">
        <v>419</v>
      </c>
      <c r="E10" s="383" t="s">
        <v>618</v>
      </c>
    </row>
    <row r="11" spans="3:5" x14ac:dyDescent="0.2">
      <c r="C11" s="385" t="s">
        <v>513</v>
      </c>
      <c r="E11" s="383" t="s">
        <v>542</v>
      </c>
    </row>
    <row r="12" spans="3:5" x14ac:dyDescent="0.2">
      <c r="C12" s="384" t="s">
        <v>512</v>
      </c>
      <c r="E12" s="383" t="s">
        <v>514</v>
      </c>
    </row>
    <row r="13" spans="3:5" x14ac:dyDescent="0.2">
      <c r="C13" s="385" t="s">
        <v>420</v>
      </c>
      <c r="E13" s="383" t="s">
        <v>619</v>
      </c>
    </row>
    <row r="14" spans="3:5" x14ac:dyDescent="0.2">
      <c r="C14" s="385" t="s">
        <v>515</v>
      </c>
      <c r="E14" s="383" t="s">
        <v>543</v>
      </c>
    </row>
    <row r="15" spans="3:5" x14ac:dyDescent="0.2">
      <c r="C15" s="384" t="s">
        <v>421</v>
      </c>
      <c r="E15" s="383" t="s">
        <v>516</v>
      </c>
    </row>
    <row r="16" spans="3:5" x14ac:dyDescent="0.2">
      <c r="C16" s="386" t="s">
        <v>5</v>
      </c>
      <c r="E16" s="383" t="s">
        <v>517</v>
      </c>
    </row>
    <row r="17" spans="3:5" x14ac:dyDescent="0.2">
      <c r="C17" s="384" t="s">
        <v>422</v>
      </c>
      <c r="E17" s="383" t="s">
        <v>518</v>
      </c>
    </row>
    <row r="20" spans="3:5" x14ac:dyDescent="0.2">
      <c r="C20" s="380" t="s">
        <v>425</v>
      </c>
      <c r="E20" s="381" t="s">
        <v>262</v>
      </c>
    </row>
    <row r="21" spans="3:5" x14ac:dyDescent="0.2">
      <c r="C21" s="387" t="s">
        <v>9</v>
      </c>
      <c r="E21" s="383" t="s">
        <v>426</v>
      </c>
    </row>
    <row r="22" spans="3:5" x14ac:dyDescent="0.2">
      <c r="C22" s="388" t="s">
        <v>10</v>
      </c>
      <c r="E22" s="383" t="s">
        <v>427</v>
      </c>
    </row>
    <row r="23" spans="3:5" x14ac:dyDescent="0.2">
      <c r="C23" s="389" t="s">
        <v>11</v>
      </c>
      <c r="E23" s="383" t="s">
        <v>620</v>
      </c>
    </row>
    <row r="24" spans="3:5" x14ac:dyDescent="0.2">
      <c r="C24" s="390" t="s">
        <v>12</v>
      </c>
      <c r="E24" s="383" t="s">
        <v>621</v>
      </c>
    </row>
    <row r="28" spans="3:5" x14ac:dyDescent="0.2">
      <c r="C28" s="380" t="s">
        <v>522</v>
      </c>
      <c r="E28" s="381" t="s">
        <v>52</v>
      </c>
    </row>
    <row r="29" spans="3:5" ht="50.5" customHeight="1" x14ac:dyDescent="0.2">
      <c r="E29" s="391" t="s">
        <v>622</v>
      </c>
    </row>
    <row r="30" spans="3:5" ht="42" customHeight="1" x14ac:dyDescent="0.2">
      <c r="E30" s="391" t="s">
        <v>523</v>
      </c>
    </row>
  </sheetData>
  <hyperlinks>
    <hyperlink ref="C8" location="'1. Setting the boundaries'!A1" display="1. Setting the boundaries" xr:uid="{F89E381C-BFD0-4AA0-91D1-75310ECABA3C}"/>
    <hyperlink ref="C9" location="'2. Housing costs'!A1" display="2. Housing costs" xr:uid="{4214D0E2-B43F-4B67-9CBC-754C4D4D79C9}"/>
    <hyperlink ref="C10" location="'CLS - Input data'!A1" display="CLS - Input data" xr:uid="{D4C6C6A8-D9F8-437B-A349-596835A6A102}"/>
    <hyperlink ref="C11" location="'Decent housing'!A1" display="Decent Housing" xr:uid="{2DED2CB3-AA7E-4A9B-BAEC-6CD8F612783B}"/>
    <hyperlink ref="C12" location="'3. Food costs'!A1" display="3. Food costs" xr:uid="{689E718F-2D71-4124-96F9-6A6A21468361}"/>
    <hyperlink ref="C13" location="'Food costs - Input data'!A1" display="Food costs - Input data" xr:uid="{7F039A53-1BAF-4031-988B-D63A4D2EF348}"/>
    <hyperlink ref="C14" location="'Nutritional input'!A1" display="Nutritional input" xr:uid="{ECD35E7F-6849-4333-A561-287CD01A150B}"/>
    <hyperlink ref="C15" location="'4. NFNH costs'!A1" display="4. NFNH costs" xr:uid="{4AE7E0BB-B604-4032-BF8A-D2652324F0B9}"/>
    <hyperlink ref="C16" location="'5. Income tax'!A1" display="Income tax" xr:uid="{9D2B576B-5457-464B-8C67-CA5F32ACE25E}"/>
    <hyperlink ref="C17" location="'Background calculations'!A1" display="Background calculations" xr:uid="{DBA967BF-9473-4C2D-BCFA-7FE2C7BE6957}"/>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sheetPr>
  <dimension ref="B2:J56"/>
  <sheetViews>
    <sheetView showGridLines="0" topLeftCell="A22" zoomScale="60" zoomScaleNormal="80" workbookViewId="0">
      <selection activeCell="O22" sqref="O22"/>
    </sheetView>
  </sheetViews>
  <sheetFormatPr baseColWidth="10" defaultColWidth="8.83203125" defaultRowHeight="15" x14ac:dyDescent="0.2"/>
  <cols>
    <col min="1" max="1" width="4.83203125" style="22" customWidth="1"/>
    <col min="2" max="2" width="1.5" style="22" customWidth="1"/>
    <col min="3" max="3" width="37.1640625" style="22" customWidth="1"/>
    <col min="4" max="4" width="13.83203125" style="22" customWidth="1"/>
    <col min="5" max="5" width="18.1640625" style="22" customWidth="1"/>
    <col min="6" max="6" width="8.1640625" style="22" bestFit="1" customWidth="1"/>
    <col min="7" max="7" width="18.1640625" style="22" customWidth="1"/>
    <col min="8" max="8" width="3.83203125" style="22" customWidth="1"/>
    <col min="9" max="9" width="11.1640625" style="22" customWidth="1"/>
    <col min="10" max="10" width="85.83203125" style="22" customWidth="1"/>
    <col min="11" max="11" width="17.1640625" style="22" customWidth="1"/>
    <col min="12" max="13" width="8.83203125" style="22"/>
    <col min="14" max="14" width="24.1640625" style="22" customWidth="1"/>
    <col min="15" max="16384" width="8.83203125" style="22"/>
  </cols>
  <sheetData>
    <row r="2" spans="2:10" ht="62" x14ac:dyDescent="0.7">
      <c r="C2" s="21" t="s">
        <v>526</v>
      </c>
    </row>
    <row r="4" spans="2:10" x14ac:dyDescent="0.2">
      <c r="I4" s="147" t="s">
        <v>20</v>
      </c>
      <c r="J4" s="160" t="s">
        <v>262</v>
      </c>
    </row>
    <row r="5" spans="2:10" x14ac:dyDescent="0.2">
      <c r="C5" s="22" t="s">
        <v>7</v>
      </c>
      <c r="E5" s="266" t="s">
        <v>630</v>
      </c>
      <c r="I5" s="279"/>
      <c r="J5" s="280" t="s">
        <v>265</v>
      </c>
    </row>
    <row r="6" spans="2:10" x14ac:dyDescent="0.2">
      <c r="C6" s="22" t="s">
        <v>6</v>
      </c>
      <c r="E6" s="266" t="s">
        <v>631</v>
      </c>
      <c r="I6" s="279"/>
      <c r="J6" s="280" t="s">
        <v>266</v>
      </c>
    </row>
    <row r="7" spans="2:10" x14ac:dyDescent="0.2">
      <c r="C7" s="22" t="s">
        <v>8</v>
      </c>
      <c r="E7" s="244" t="s">
        <v>18</v>
      </c>
      <c r="I7" s="279"/>
      <c r="J7" s="280" t="s">
        <v>428</v>
      </c>
    </row>
    <row r="10" spans="2:10" x14ac:dyDescent="0.2">
      <c r="C10" s="22" t="s">
        <v>246</v>
      </c>
      <c r="D10" s="22" t="s">
        <v>263</v>
      </c>
      <c r="E10" s="317">
        <v>3675</v>
      </c>
      <c r="I10" s="281" t="s">
        <v>274</v>
      </c>
      <c r="J10" s="280" t="s">
        <v>267</v>
      </c>
    </row>
    <row r="12" spans="2:10" ht="16" thickBot="1" x14ac:dyDescent="0.25"/>
    <row r="13" spans="2:10" ht="22" thickTop="1" x14ac:dyDescent="0.25">
      <c r="B13" s="282"/>
      <c r="C13" s="283" t="s">
        <v>242</v>
      </c>
      <c r="D13" s="284"/>
      <c r="E13" s="284"/>
      <c r="F13" s="285"/>
      <c r="J13" s="160" t="s">
        <v>262</v>
      </c>
    </row>
    <row r="14" spans="2:10" x14ac:dyDescent="0.2">
      <c r="B14" s="286"/>
      <c r="F14" s="287"/>
    </row>
    <row r="15" spans="2:10" x14ac:dyDescent="0.2">
      <c r="B15" s="286"/>
      <c r="E15" s="288" t="s">
        <v>493</v>
      </c>
      <c r="F15" s="287"/>
      <c r="J15" s="399" t="s">
        <v>524</v>
      </c>
    </row>
    <row r="16" spans="2:10" x14ac:dyDescent="0.2">
      <c r="B16" s="286"/>
      <c r="F16" s="287"/>
      <c r="J16" s="399"/>
    </row>
    <row r="17" spans="2:10" x14ac:dyDescent="0.2">
      <c r="B17" s="286"/>
      <c r="F17" s="287"/>
    </row>
    <row r="18" spans="2:10" ht="19" x14ac:dyDescent="0.25">
      <c r="B18" s="286"/>
      <c r="C18" s="289" t="s">
        <v>13</v>
      </c>
      <c r="E18" s="290">
        <f>IF($E$15='Background calculations'!$B$11,'1. Setting the boundaries'!D25 + '1. Setting the boundaries'!D26,'1. Setting the boundaries'!D16)</f>
        <v>2</v>
      </c>
      <c r="F18" s="287"/>
      <c r="J18" s="399" t="s">
        <v>525</v>
      </c>
    </row>
    <row r="19" spans="2:10" ht="19" x14ac:dyDescent="0.25">
      <c r="B19" s="286"/>
      <c r="C19" s="289" t="s">
        <v>58</v>
      </c>
      <c r="E19" s="290">
        <f>IF($E$15='Background calculations'!$B$11,'1. Setting the boundaries'!D27,'1. Setting the boundaries'!D17)</f>
        <v>2</v>
      </c>
      <c r="F19" s="287"/>
      <c r="J19" s="399"/>
    </row>
    <row r="20" spans="2:10" ht="19" x14ac:dyDescent="0.25">
      <c r="B20" s="286"/>
      <c r="C20" s="289" t="s">
        <v>243</v>
      </c>
      <c r="E20" s="290">
        <f>IF($E$15='Background calculations'!$B$11,'1. Setting the boundaries'!D28,'1. Setting the boundaries'!D18)</f>
        <v>2</v>
      </c>
      <c r="F20" s="287"/>
    </row>
    <row r="21" spans="2:10" ht="9" customHeight="1" thickBot="1" x14ac:dyDescent="0.25">
      <c r="B21" s="291"/>
      <c r="C21" s="292"/>
      <c r="D21" s="292"/>
      <c r="E21" s="292"/>
      <c r="F21" s="293"/>
    </row>
    <row r="22" spans="2:10" ht="17" thickTop="1" x14ac:dyDescent="0.2">
      <c r="F22" s="294">
        <f>SUM(E27:E29)*5%</f>
        <v>64973.293806483794</v>
      </c>
    </row>
    <row r="23" spans="2:10" ht="16" thickBot="1" x14ac:dyDescent="0.25"/>
    <row r="24" spans="2:10" ht="22" thickTop="1" x14ac:dyDescent="0.25">
      <c r="B24" s="282"/>
      <c r="C24" s="283" t="s">
        <v>468</v>
      </c>
      <c r="D24" s="284"/>
      <c r="E24" s="284"/>
      <c r="F24" s="284"/>
      <c r="G24" s="284"/>
      <c r="H24" s="285"/>
    </row>
    <row r="25" spans="2:10" x14ac:dyDescent="0.2">
      <c r="B25" s="286"/>
      <c r="H25" s="287"/>
    </row>
    <row r="26" spans="2:10" x14ac:dyDescent="0.2">
      <c r="B26" s="286"/>
      <c r="E26" s="53" t="s">
        <v>264</v>
      </c>
      <c r="G26" s="53" t="s">
        <v>245</v>
      </c>
      <c r="H26" s="287"/>
      <c r="I26" s="22" t="s">
        <v>680</v>
      </c>
    </row>
    <row r="27" spans="2:10" ht="16" x14ac:dyDescent="0.2">
      <c r="B27" s="286"/>
      <c r="C27" s="57" t="s">
        <v>0</v>
      </c>
      <c r="E27" s="294">
        <f>'2. Housing costs'!D13</f>
        <v>98297.020833333328</v>
      </c>
      <c r="F27" s="57"/>
      <c r="G27" s="295">
        <f>IFERROR(E27/$E$10,"")</f>
        <v>26.747488662131516</v>
      </c>
      <c r="H27" s="287"/>
    </row>
    <row r="28" spans="2:10" ht="16" x14ac:dyDescent="0.2">
      <c r="B28" s="286"/>
      <c r="C28" s="57" t="s">
        <v>1</v>
      </c>
      <c r="E28" s="294">
        <f>'3. Food costs'!E14</f>
        <v>648047.93871518131</v>
      </c>
      <c r="F28" s="57"/>
      <c r="G28" s="295">
        <f>IFERROR(E28/$E$10,"")</f>
        <v>176.33957516059357</v>
      </c>
      <c r="H28" s="287"/>
    </row>
    <row r="29" spans="2:10" ht="16" x14ac:dyDescent="0.2">
      <c r="B29" s="286"/>
      <c r="C29" s="57" t="s">
        <v>2</v>
      </c>
      <c r="E29" s="294">
        <f>'4. NFNH costs'!E16</f>
        <v>553120.9165811612</v>
      </c>
      <c r="F29" s="57"/>
      <c r="G29" s="295">
        <f>IFERROR(E29/$E$10,"")</f>
        <v>150.50909294725474</v>
      </c>
      <c r="H29" s="287"/>
    </row>
    <row r="30" spans="2:10" ht="16" x14ac:dyDescent="0.2">
      <c r="B30" s="286"/>
      <c r="C30" s="57" t="s">
        <v>613</v>
      </c>
      <c r="E30" s="294">
        <f>SUM(E27:E29)*5%</f>
        <v>64973.293806483794</v>
      </c>
      <c r="F30" s="57"/>
      <c r="G30" s="295">
        <f>IFERROR(E30/$E$10,"")</f>
        <v>17.679807838498991</v>
      </c>
      <c r="H30" s="287"/>
    </row>
    <row r="31" spans="2:10" ht="16" x14ac:dyDescent="0.2">
      <c r="B31" s="286"/>
      <c r="C31" s="57" t="s">
        <v>3</v>
      </c>
      <c r="E31" s="294">
        <f>SUM(E28:E30)*5%</f>
        <v>63307.107455141318</v>
      </c>
      <c r="F31" s="57"/>
      <c r="G31" s="295">
        <f>IFERROR(F22/$E$10,"")</f>
        <v>17.679807838498991</v>
      </c>
      <c r="H31" s="287"/>
    </row>
    <row r="32" spans="2:10" ht="16" x14ac:dyDescent="0.2">
      <c r="B32" s="286"/>
      <c r="C32" s="57"/>
      <c r="E32" s="57"/>
      <c r="F32" s="57"/>
      <c r="G32" s="296"/>
      <c r="H32" s="287"/>
    </row>
    <row r="33" spans="2:10" ht="40" x14ac:dyDescent="0.25">
      <c r="B33" s="286"/>
      <c r="C33" s="297" t="s">
        <v>4</v>
      </c>
      <c r="D33" s="74"/>
      <c r="E33" s="298">
        <f>SUM(E27:E31)</f>
        <v>1427746.277391301</v>
      </c>
      <c r="F33" s="299"/>
      <c r="G33" s="298">
        <f>SUM(G27:G31)</f>
        <v>388.9557724469779</v>
      </c>
      <c r="H33" s="287"/>
    </row>
    <row r="34" spans="2:10" ht="17" thickBot="1" x14ac:dyDescent="0.25">
      <c r="B34" s="286"/>
      <c r="E34" s="57"/>
      <c r="F34" s="57"/>
      <c r="G34" s="296"/>
      <c r="H34" s="287"/>
    </row>
    <row r="35" spans="2:10" ht="63" customHeight="1" thickBot="1" x14ac:dyDescent="0.25">
      <c r="B35" s="286"/>
      <c r="C35" s="300" t="s">
        <v>268</v>
      </c>
      <c r="D35" s="301"/>
      <c r="E35" s="302">
        <f>IFERROR(E33/E20,"")</f>
        <v>713873.1386956505</v>
      </c>
      <c r="F35" s="303"/>
      <c r="G35" s="302">
        <f>IFERROR(G33/E20,"")</f>
        <v>194.47788622348895</v>
      </c>
      <c r="H35" s="287"/>
    </row>
    <row r="36" spans="2:10" ht="19" x14ac:dyDescent="0.25">
      <c r="B36" s="286"/>
      <c r="C36" s="304"/>
      <c r="D36" s="305"/>
      <c r="E36" s="57"/>
      <c r="F36" s="57"/>
      <c r="G36" s="296"/>
      <c r="H36" s="287"/>
    </row>
    <row r="37" spans="2:10" ht="19" x14ac:dyDescent="0.25">
      <c r="B37" s="286"/>
      <c r="C37" s="289" t="s">
        <v>5</v>
      </c>
      <c r="E37" s="294">
        <f>+'5. Income tax'!D23</f>
        <v>147689.89517038697</v>
      </c>
      <c r="F37" s="57"/>
      <c r="G37" s="306">
        <f>IFERROR(E37/E10,"")</f>
        <v>40.187726576976047</v>
      </c>
      <c r="H37" s="287"/>
    </row>
    <row r="38" spans="2:10" ht="20" thickBot="1" x14ac:dyDescent="0.3">
      <c r="B38" s="286"/>
      <c r="C38" s="289"/>
      <c r="E38" s="57"/>
      <c r="F38" s="57"/>
      <c r="G38" s="296"/>
      <c r="H38" s="287"/>
    </row>
    <row r="39" spans="2:10" ht="41" thickBot="1" x14ac:dyDescent="0.25">
      <c r="B39" s="286"/>
      <c r="C39" s="307" t="s">
        <v>269</v>
      </c>
      <c r="D39" s="301"/>
      <c r="E39" s="302">
        <f>+'5. Income tax'!$D$19/12</f>
        <v>1507940.6598705361</v>
      </c>
      <c r="F39" s="303"/>
      <c r="G39" s="302">
        <f>IFERROR(G35+G37,"")</f>
        <v>234.665612800465</v>
      </c>
      <c r="H39" s="287"/>
      <c r="J39" s="332"/>
    </row>
    <row r="40" spans="2:10" ht="16" thickBot="1" x14ac:dyDescent="0.25">
      <c r="B40" s="291"/>
      <c r="C40" s="292"/>
      <c r="D40" s="292"/>
      <c r="E40" s="292"/>
      <c r="F40" s="292"/>
      <c r="G40" s="292"/>
      <c r="H40" s="293"/>
    </row>
    <row r="41" spans="2:10" ht="17" thickTop="1" thickBot="1" x14ac:dyDescent="0.25"/>
    <row r="42" spans="2:10" ht="22" thickTop="1" x14ac:dyDescent="0.25">
      <c r="B42" s="282"/>
      <c r="C42" s="283" t="s">
        <v>467</v>
      </c>
      <c r="D42" s="284"/>
      <c r="E42" s="284"/>
      <c r="F42" s="284"/>
      <c r="G42" s="284"/>
      <c r="H42" s="285"/>
    </row>
    <row r="43" spans="2:10" s="163" customFormat="1" x14ac:dyDescent="0.2">
      <c r="B43" s="286"/>
      <c r="C43" s="22"/>
      <c r="D43" s="22"/>
      <c r="E43" s="22"/>
      <c r="F43" s="22"/>
      <c r="G43" s="22"/>
      <c r="H43" s="287"/>
      <c r="I43" s="22"/>
      <c r="J43" s="368"/>
    </row>
    <row r="44" spans="2:10" s="163" customFormat="1" x14ac:dyDescent="0.2">
      <c r="B44" s="286"/>
      <c r="C44" s="22"/>
      <c r="D44" s="22"/>
      <c r="E44" s="53" t="s">
        <v>398</v>
      </c>
      <c r="F44" s="22"/>
      <c r="G44" s="53" t="s">
        <v>254</v>
      </c>
      <c r="H44" s="287"/>
      <c r="I44" s="22"/>
    </row>
    <row r="45" spans="2:10" s="163" customFormat="1" ht="16" x14ac:dyDescent="0.2">
      <c r="B45" s="286"/>
      <c r="C45" s="57" t="s">
        <v>0</v>
      </c>
      <c r="D45" s="22"/>
      <c r="E45" s="308">
        <f>IFERROR(E27*12,"")</f>
        <v>1179564.25</v>
      </c>
      <c r="F45" s="309"/>
      <c r="G45" s="310">
        <f>IFERROR(G27*12,"")</f>
        <v>320.9698639455782</v>
      </c>
      <c r="H45" s="287"/>
      <c r="I45" s="22"/>
    </row>
    <row r="46" spans="2:10" s="163" customFormat="1" ht="16" x14ac:dyDescent="0.2">
      <c r="B46" s="286"/>
      <c r="C46" s="57" t="s">
        <v>1</v>
      </c>
      <c r="D46" s="22"/>
      <c r="E46" s="308">
        <f>IFERROR(E28*12,"")</f>
        <v>7776575.2645821758</v>
      </c>
      <c r="F46" s="309"/>
      <c r="G46" s="310">
        <f>IFERROR(G28*12,"")</f>
        <v>2116.0749019271229</v>
      </c>
      <c r="H46" s="287"/>
      <c r="I46" s="22"/>
    </row>
    <row r="47" spans="2:10" s="163" customFormat="1" ht="16" x14ac:dyDescent="0.2">
      <c r="B47" s="286"/>
      <c r="C47" s="57" t="s">
        <v>2</v>
      </c>
      <c r="D47" s="22"/>
      <c r="E47" s="308">
        <f>IFERROR(E29*12,"")</f>
        <v>6637450.998973934</v>
      </c>
      <c r="F47" s="309"/>
      <c r="G47" s="310">
        <f>IFERROR(G29*12,"")</f>
        <v>1806.1091153670568</v>
      </c>
      <c r="H47" s="287"/>
      <c r="I47" s="22"/>
    </row>
    <row r="48" spans="2:10" s="163" customFormat="1" ht="16" x14ac:dyDescent="0.2">
      <c r="B48" s="286"/>
      <c r="C48" s="57" t="s">
        <v>3</v>
      </c>
      <c r="D48" s="22"/>
      <c r="E48" s="308">
        <f>IFERROR(E30*12,"")</f>
        <v>779679.52567780553</v>
      </c>
      <c r="F48" s="309"/>
      <c r="G48" s="310">
        <f>IFERROR(G30*12,"")</f>
        <v>212.15769406198791</v>
      </c>
      <c r="H48" s="287"/>
      <c r="I48" s="22"/>
    </row>
    <row r="49" spans="2:9" s="163" customFormat="1" x14ac:dyDescent="0.2">
      <c r="B49" s="286"/>
      <c r="C49" s="22"/>
      <c r="D49" s="22"/>
      <c r="E49" s="221"/>
      <c r="F49" s="65"/>
      <c r="G49" s="221"/>
      <c r="H49" s="287"/>
      <c r="I49" s="22"/>
    </row>
    <row r="50" spans="2:9" s="163" customFormat="1" ht="34" x14ac:dyDescent="0.2">
      <c r="B50" s="286"/>
      <c r="C50" s="311" t="s">
        <v>4</v>
      </c>
      <c r="D50" s="22"/>
      <c r="E50" s="308">
        <f>SUM(E45:E48)</f>
        <v>16373270.039233916</v>
      </c>
      <c r="F50" s="309"/>
      <c r="G50" s="310">
        <f>SUM(G45:G48)</f>
        <v>4455.3115753017455</v>
      </c>
      <c r="H50" s="287"/>
      <c r="I50" s="22"/>
    </row>
    <row r="51" spans="2:9" x14ac:dyDescent="0.2">
      <c r="B51" s="286"/>
      <c r="C51" s="163"/>
      <c r="D51" s="163"/>
      <c r="E51" s="312"/>
      <c r="F51" s="312"/>
      <c r="G51" s="312"/>
      <c r="H51" s="287"/>
    </row>
    <row r="52" spans="2:9" ht="19" x14ac:dyDescent="0.25">
      <c r="B52" s="286"/>
      <c r="C52" s="289" t="s">
        <v>5</v>
      </c>
      <c r="E52" s="313">
        <f>IFERROR(E37*12,"")</f>
        <v>1772278.7420446435</v>
      </c>
      <c r="F52" s="309"/>
      <c r="G52" s="313">
        <f>IFERROR(G37*12,"")</f>
        <v>482.25271892371256</v>
      </c>
      <c r="H52" s="287"/>
    </row>
    <row r="53" spans="2:9" ht="20" thickBot="1" x14ac:dyDescent="0.3">
      <c r="B53" s="286"/>
      <c r="C53" s="289"/>
      <c r="E53" s="309"/>
      <c r="F53" s="309"/>
      <c r="G53" s="314"/>
      <c r="H53" s="287"/>
    </row>
    <row r="54" spans="2:9" ht="41" thickBot="1" x14ac:dyDescent="0.25">
      <c r="B54" s="286"/>
      <c r="C54" s="307" t="s">
        <v>269</v>
      </c>
      <c r="D54" s="301"/>
      <c r="E54" s="302">
        <f>IFERROR(E50+E52,"")</f>
        <v>18145548.781278558</v>
      </c>
      <c r="F54" s="303"/>
      <c r="G54" s="393">
        <f>IFERROR(G50+G52,"")</f>
        <v>4937.5642942254581</v>
      </c>
      <c r="H54" s="287"/>
    </row>
    <row r="55" spans="2:9" ht="16" thickBot="1" x14ac:dyDescent="0.25">
      <c r="B55" s="291"/>
      <c r="C55" s="292"/>
      <c r="D55" s="292"/>
      <c r="E55" s="292"/>
      <c r="F55" s="292"/>
      <c r="G55" s="292"/>
      <c r="H55" s="293"/>
    </row>
    <row r="56" spans="2:9" ht="16" thickTop="1" x14ac:dyDescent="0.2"/>
  </sheetData>
  <mergeCells count="2">
    <mergeCell ref="J15:J16"/>
    <mergeCell ref="J18:J19"/>
  </mergeCells>
  <dataValidations count="1">
    <dataValidation type="list" allowBlank="1" showInputMessage="1" showErrorMessage="1" sqref="E7" xr:uid="{24B7CD9C-F00C-4EBA-9FA6-2100B9C313D7}">
      <formula1>"Urban, Peri-urban, Rural"</formula1>
    </dataValidation>
  </dataValidations>
  <hyperlinks>
    <hyperlink ref="I10" r:id="rId1" xr:uid="{6F134A4B-F1AB-4C23-B8C7-68C633E31112}"/>
  </hyperlinks>
  <pageMargins left="0.7" right="0.7" top="0.75" bottom="0.75" header="0.3" footer="0.3"/>
  <pageSetup orientation="landscape"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4BFF1076-97B6-4CE8-BACE-A0FAEA6C58E3}">
          <x14:formula1>
            <xm:f>'Background calculations'!$B$10:$B$11</xm:f>
          </x14:formula1>
          <xm:sqref>E15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0332D-0249-42EB-BFB4-59FF3C3106A9}">
  <sheetPr>
    <tabColor theme="5"/>
  </sheetPr>
  <dimension ref="B2:J68"/>
  <sheetViews>
    <sheetView showGridLines="0" topLeftCell="A25" zoomScale="69" zoomScaleNormal="86" workbookViewId="0">
      <selection activeCell="I40" sqref="I40"/>
    </sheetView>
  </sheetViews>
  <sheetFormatPr baseColWidth="10" defaultColWidth="8.83203125" defaultRowHeight="15" x14ac:dyDescent="0.2"/>
  <cols>
    <col min="1" max="1" width="2.83203125" style="22" customWidth="1"/>
    <col min="2" max="2" width="3.1640625" style="22" customWidth="1"/>
    <col min="3" max="3" width="42.1640625" style="22" customWidth="1"/>
    <col min="4" max="4" width="14.1640625" style="22" customWidth="1"/>
    <col min="5" max="5" width="11.1640625" style="22" customWidth="1"/>
    <col min="6" max="6" width="15.1640625" style="22" customWidth="1"/>
    <col min="7" max="7" width="3.1640625" style="22" customWidth="1"/>
    <col min="8" max="8" width="1.83203125" style="22" customWidth="1"/>
    <col min="9" max="9" width="169.5" style="22" customWidth="1"/>
    <col min="10" max="10" width="28.1640625" style="22" customWidth="1"/>
    <col min="11" max="16384" width="8.83203125" style="22"/>
  </cols>
  <sheetData>
    <row r="2" spans="2:9" ht="62" x14ac:dyDescent="0.7">
      <c r="B2" s="21" t="s">
        <v>273</v>
      </c>
    </row>
    <row r="5" spans="2:9" ht="21" x14ac:dyDescent="0.25">
      <c r="B5" s="120" t="s">
        <v>270</v>
      </c>
      <c r="C5" s="121"/>
      <c r="D5" s="122"/>
      <c r="E5" s="122"/>
      <c r="F5" s="122"/>
      <c r="G5" s="122"/>
      <c r="H5" s="122"/>
      <c r="I5" s="122"/>
    </row>
    <row r="7" spans="2:9" x14ac:dyDescent="0.2">
      <c r="I7" s="160" t="s">
        <v>262</v>
      </c>
    </row>
    <row r="8" spans="2:9" x14ac:dyDescent="0.2">
      <c r="C8" s="22" t="s">
        <v>87</v>
      </c>
      <c r="D8" s="253" t="s">
        <v>18</v>
      </c>
      <c r="E8" s="254"/>
      <c r="I8" s="255" t="s">
        <v>285</v>
      </c>
    </row>
    <row r="9" spans="2:9" x14ac:dyDescent="0.2">
      <c r="C9" s="22" t="s">
        <v>284</v>
      </c>
      <c r="D9" s="244" t="str">
        <f>IF(D8="Urban", "Urban", IF(D8="Peri-urban", "Region", "Rural"))</f>
        <v>Region</v>
      </c>
      <c r="I9" s="255" t="s">
        <v>411</v>
      </c>
    </row>
    <row r="11" spans="2:9" ht="21" x14ac:dyDescent="0.25">
      <c r="B11" s="120" t="s">
        <v>271</v>
      </c>
      <c r="C11" s="121"/>
      <c r="D11" s="122"/>
      <c r="E11" s="122"/>
      <c r="F11" s="122"/>
      <c r="G11" s="122"/>
      <c r="H11" s="122"/>
      <c r="I11" s="122"/>
    </row>
    <row r="12" spans="2:9" ht="16" thickBot="1" x14ac:dyDescent="0.25">
      <c r="C12" s="60"/>
      <c r="D12" s="134"/>
    </row>
    <row r="13" spans="2:9" ht="21" x14ac:dyDescent="0.25">
      <c r="B13" s="256"/>
      <c r="C13" s="257" t="s">
        <v>242</v>
      </c>
      <c r="D13" s="258"/>
      <c r="E13" s="258"/>
      <c r="F13" s="258"/>
      <c r="G13" s="259"/>
      <c r="I13" s="160" t="s">
        <v>262</v>
      </c>
    </row>
    <row r="14" spans="2:9" ht="65.5" customHeight="1" x14ac:dyDescent="0.2">
      <c r="B14" s="139"/>
      <c r="G14" s="140"/>
      <c r="I14" s="260" t="s">
        <v>527</v>
      </c>
    </row>
    <row r="15" spans="2:9" x14ac:dyDescent="0.2">
      <c r="B15" s="139"/>
      <c r="D15" s="50" t="s">
        <v>492</v>
      </c>
      <c r="G15" s="140"/>
    </row>
    <row r="16" spans="2:9" ht="19" x14ac:dyDescent="0.25">
      <c r="B16" s="139"/>
      <c r="C16" s="261" t="s">
        <v>13</v>
      </c>
      <c r="D16" s="262">
        <v>2</v>
      </c>
      <c r="G16" s="140"/>
    </row>
    <row r="17" spans="2:9" ht="18" customHeight="1" x14ac:dyDescent="0.25">
      <c r="B17" s="139"/>
      <c r="C17" s="261" t="s">
        <v>58</v>
      </c>
      <c r="D17" s="263">
        <f>IFERROR(_xlfn.XLOOKUP($D$9,$D$43:$F$43,$D$48:$F$48),"")</f>
        <v>8.1487500000000004E-2</v>
      </c>
      <c r="G17" s="140"/>
    </row>
    <row r="18" spans="2:9" ht="19" x14ac:dyDescent="0.25">
      <c r="B18" s="139"/>
      <c r="C18" s="264" t="s">
        <v>243</v>
      </c>
      <c r="D18" s="265">
        <f>_xlfn.IFNA(_xlfn.XLOOKUP($D$8,$D$63:$F$63,$D$68:$F$68),"")</f>
        <v>1.7339020000000001</v>
      </c>
      <c r="G18" s="140"/>
    </row>
    <row r="19" spans="2:9" ht="9.75" customHeight="1" thickBot="1" x14ac:dyDescent="0.25">
      <c r="B19" s="142"/>
      <c r="C19" s="143"/>
      <c r="D19" s="143"/>
      <c r="E19" s="143"/>
      <c r="F19" s="143"/>
      <c r="G19" s="145"/>
    </row>
    <row r="20" spans="2:9" ht="9.75" customHeight="1" x14ac:dyDescent="0.2"/>
    <row r="21" spans="2:9" ht="9.75" customHeight="1" thickBot="1" x14ac:dyDescent="0.25"/>
    <row r="22" spans="2:9" ht="18" customHeight="1" x14ac:dyDescent="0.25">
      <c r="B22" s="256"/>
      <c r="C22" s="257" t="s">
        <v>502</v>
      </c>
      <c r="D22" s="258"/>
      <c r="E22" s="258"/>
      <c r="F22" s="258"/>
      <c r="G22" s="259"/>
    </row>
    <row r="23" spans="2:9" ht="55.5" customHeight="1" x14ac:dyDescent="0.2">
      <c r="B23" s="139"/>
      <c r="G23" s="140"/>
      <c r="I23" s="260" t="s">
        <v>505</v>
      </c>
    </row>
    <row r="24" spans="2:9" ht="18" customHeight="1" x14ac:dyDescent="0.2">
      <c r="B24" s="139"/>
      <c r="D24" s="50" t="s">
        <v>493</v>
      </c>
      <c r="G24" s="140"/>
    </row>
    <row r="25" spans="2:9" ht="18" customHeight="1" x14ac:dyDescent="0.25">
      <c r="B25" s="139"/>
      <c r="C25" s="261" t="s">
        <v>503</v>
      </c>
      <c r="D25" s="266">
        <v>1</v>
      </c>
      <c r="G25" s="140"/>
    </row>
    <row r="26" spans="2:9" ht="18" customHeight="1" x14ac:dyDescent="0.25">
      <c r="B26" s="139"/>
      <c r="C26" s="261" t="s">
        <v>504</v>
      </c>
      <c r="D26" s="266">
        <v>1</v>
      </c>
      <c r="G26" s="140"/>
    </row>
    <row r="27" spans="2:9" ht="18" customHeight="1" x14ac:dyDescent="0.25">
      <c r="B27" s="139"/>
      <c r="C27" s="261" t="s">
        <v>58</v>
      </c>
      <c r="D27" s="266">
        <v>2</v>
      </c>
      <c r="G27" s="140"/>
    </row>
    <row r="28" spans="2:9" ht="18" customHeight="1" x14ac:dyDescent="0.25">
      <c r="B28" s="139"/>
      <c r="C28" s="264" t="s">
        <v>243</v>
      </c>
      <c r="D28" s="266">
        <v>2</v>
      </c>
      <c r="G28" s="140"/>
    </row>
    <row r="29" spans="2:9" ht="18" customHeight="1" thickBot="1" x14ac:dyDescent="0.25">
      <c r="B29" s="142"/>
      <c r="C29" s="143"/>
      <c r="D29" s="143"/>
      <c r="E29" s="143"/>
      <c r="F29" s="143"/>
      <c r="G29" s="145"/>
    </row>
    <row r="30" spans="2:9" ht="18" customHeight="1" x14ac:dyDescent="0.2"/>
    <row r="31" spans="2:9" ht="21" x14ac:dyDescent="0.25">
      <c r="B31" s="126" t="s">
        <v>272</v>
      </c>
      <c r="C31" s="28"/>
      <c r="D31" s="28"/>
      <c r="E31" s="29"/>
      <c r="F31" s="29"/>
      <c r="G31" s="29"/>
      <c r="H31" s="29"/>
      <c r="I31" s="29"/>
    </row>
    <row r="32" spans="2:9" x14ac:dyDescent="0.2">
      <c r="C32" s="60"/>
      <c r="D32" s="134"/>
    </row>
    <row r="33" spans="2:10" x14ac:dyDescent="0.2">
      <c r="C33" s="23" t="s">
        <v>262</v>
      </c>
      <c r="D33" s="134"/>
    </row>
    <row r="34" spans="2:10" x14ac:dyDescent="0.2">
      <c r="C34" s="22" t="s">
        <v>282</v>
      </c>
      <c r="D34" s="134"/>
      <c r="E34" s="267" t="s">
        <v>274</v>
      </c>
    </row>
    <row r="35" spans="2:10" x14ac:dyDescent="0.2">
      <c r="C35" s="60"/>
      <c r="D35" s="134"/>
    </row>
    <row r="36" spans="2:10" x14ac:dyDescent="0.2">
      <c r="C36" s="23" t="s">
        <v>52</v>
      </c>
      <c r="D36" s="134"/>
    </row>
    <row r="37" spans="2:10" x14ac:dyDescent="0.2">
      <c r="B37" s="193">
        <v>1</v>
      </c>
      <c r="C37" s="45" t="s">
        <v>276</v>
      </c>
      <c r="D37" s="236"/>
      <c r="E37" s="45"/>
      <c r="F37" s="45"/>
      <c r="G37" s="45"/>
      <c r="H37" s="45"/>
      <c r="I37" s="45"/>
    </row>
    <row r="38" spans="2:10" x14ac:dyDescent="0.2">
      <c r="B38" s="193">
        <v>2</v>
      </c>
      <c r="C38" s="45" t="s">
        <v>277</v>
      </c>
      <c r="D38" s="236"/>
      <c r="E38" s="45"/>
      <c r="F38" s="45"/>
      <c r="G38" s="45"/>
      <c r="H38" s="45"/>
      <c r="I38" s="45"/>
    </row>
    <row r="39" spans="2:10" x14ac:dyDescent="0.2">
      <c r="B39" s="193">
        <v>3</v>
      </c>
      <c r="C39" s="45" t="s">
        <v>278</v>
      </c>
      <c r="D39" s="236"/>
      <c r="E39" s="45"/>
      <c r="F39" s="45"/>
      <c r="G39" s="45"/>
      <c r="H39" s="45"/>
      <c r="I39" s="45"/>
    </row>
    <row r="40" spans="2:10" x14ac:dyDescent="0.2">
      <c r="B40" s="193">
        <v>4</v>
      </c>
      <c r="C40" s="45" t="s">
        <v>279</v>
      </c>
      <c r="D40" s="236"/>
      <c r="E40" s="45"/>
      <c r="F40" s="45"/>
      <c r="G40" s="45"/>
      <c r="H40" s="45"/>
      <c r="I40" s="45"/>
    </row>
    <row r="41" spans="2:10" x14ac:dyDescent="0.2">
      <c r="B41" s="193">
        <v>5</v>
      </c>
      <c r="C41" s="45" t="s">
        <v>275</v>
      </c>
      <c r="D41" s="236"/>
      <c r="E41" s="45"/>
      <c r="F41" s="45"/>
      <c r="G41" s="45"/>
      <c r="H41" s="45"/>
      <c r="I41" s="45"/>
    </row>
    <row r="42" spans="2:10" x14ac:dyDescent="0.2">
      <c r="C42" s="60"/>
      <c r="D42" s="134"/>
      <c r="J42" s="22" t="s">
        <v>606</v>
      </c>
    </row>
    <row r="43" spans="2:10" x14ac:dyDescent="0.2">
      <c r="D43" s="268" t="s">
        <v>17</v>
      </c>
      <c r="E43" s="268" t="s">
        <v>19</v>
      </c>
      <c r="F43" s="268" t="s">
        <v>6</v>
      </c>
      <c r="I43" s="160" t="s">
        <v>262</v>
      </c>
    </row>
    <row r="44" spans="2:10" x14ac:dyDescent="0.2">
      <c r="C44" s="193" t="s">
        <v>14</v>
      </c>
      <c r="D44" s="266">
        <v>0.12916666666666668</v>
      </c>
      <c r="E44" s="266">
        <v>0.12916666666666668</v>
      </c>
      <c r="F44" s="266">
        <v>0.12916666666666668</v>
      </c>
      <c r="I44" s="255" t="s">
        <v>528</v>
      </c>
      <c r="J44" s="22" t="s">
        <v>605</v>
      </c>
    </row>
    <row r="45" spans="2:10" x14ac:dyDescent="0.2">
      <c r="C45" s="193" t="s">
        <v>15</v>
      </c>
      <c r="D45" s="266">
        <v>0.1701388888888889</v>
      </c>
      <c r="E45" s="266">
        <v>0.1701388888888889</v>
      </c>
      <c r="F45" s="266">
        <v>0.17083333333333334</v>
      </c>
      <c r="I45" s="255" t="s">
        <v>529</v>
      </c>
      <c r="J45" s="22" t="s">
        <v>607</v>
      </c>
    </row>
    <row r="46" spans="2:10" x14ac:dyDescent="0.2">
      <c r="C46" s="193" t="s">
        <v>16</v>
      </c>
      <c r="D46" s="266">
        <v>46</v>
      </c>
      <c r="E46" s="266">
        <v>46</v>
      </c>
      <c r="F46" s="266">
        <v>46</v>
      </c>
      <c r="I46" s="255" t="s">
        <v>530</v>
      </c>
    </row>
    <row r="47" spans="2:10" ht="16" thickBot="1" x14ac:dyDescent="0.25"/>
    <row r="48" spans="2:10" ht="16" thickBot="1" x14ac:dyDescent="0.25">
      <c r="C48" s="269" t="s">
        <v>58</v>
      </c>
      <c r="D48" s="270">
        <f>IFERROR(AVERAGE('Background calculations'!C24:C25,'Background calculations'!E24:E25),"")</f>
        <v>-0.38638645833333329</v>
      </c>
      <c r="E48" s="270">
        <f>IFERROR(AVERAGE('Background calculations'!D24:D25,'Background calculations'!E24:E25),"")</f>
        <v>-0.38638645833333329</v>
      </c>
      <c r="F48" s="271">
        <f>AVERAGE('Background calculations'!E24:E25)</f>
        <v>8.1487500000000004E-2</v>
      </c>
      <c r="I48" s="163"/>
    </row>
    <row r="50" spans="2:10" ht="21" x14ac:dyDescent="0.25">
      <c r="B50" s="126" t="s">
        <v>280</v>
      </c>
      <c r="C50" s="28"/>
      <c r="D50" s="28"/>
      <c r="E50" s="29"/>
      <c r="F50" s="29"/>
      <c r="G50" s="29"/>
      <c r="H50" s="29"/>
      <c r="I50" s="29"/>
    </row>
    <row r="52" spans="2:10" x14ac:dyDescent="0.2">
      <c r="C52" s="23" t="s">
        <v>262</v>
      </c>
      <c r="D52" s="134"/>
    </row>
    <row r="53" spans="2:10" x14ac:dyDescent="0.2">
      <c r="C53" s="22" t="s">
        <v>281</v>
      </c>
      <c r="D53" s="134"/>
      <c r="E53" s="267" t="s">
        <v>274</v>
      </c>
    </row>
    <row r="54" spans="2:10" x14ac:dyDescent="0.2">
      <c r="C54" s="60"/>
      <c r="D54" s="134"/>
    </row>
    <row r="55" spans="2:10" x14ac:dyDescent="0.2">
      <c r="C55" s="23" t="s">
        <v>52</v>
      </c>
      <c r="D55" s="134"/>
    </row>
    <row r="56" spans="2:10" x14ac:dyDescent="0.2">
      <c r="B56" s="193">
        <v>1</v>
      </c>
      <c r="C56" s="45" t="s">
        <v>469</v>
      </c>
      <c r="D56" s="236"/>
      <c r="E56" s="45"/>
      <c r="F56" s="45"/>
      <c r="G56" s="45"/>
      <c r="H56" s="45"/>
      <c r="I56" s="45"/>
    </row>
    <row r="57" spans="2:10" x14ac:dyDescent="0.2">
      <c r="B57" s="193">
        <v>2</v>
      </c>
      <c r="C57" s="45" t="s">
        <v>473</v>
      </c>
      <c r="D57" s="236"/>
      <c r="E57" s="45"/>
      <c r="F57" s="45"/>
      <c r="G57" s="45"/>
      <c r="H57" s="45"/>
      <c r="I57" s="45"/>
    </row>
    <row r="58" spans="2:10" x14ac:dyDescent="0.2">
      <c r="B58" s="193">
        <v>3</v>
      </c>
      <c r="C58" s="45" t="s">
        <v>470</v>
      </c>
      <c r="D58" s="236"/>
      <c r="E58" s="45"/>
      <c r="F58" s="45"/>
      <c r="G58" s="45"/>
      <c r="H58" s="45"/>
      <c r="I58" s="45"/>
    </row>
    <row r="59" spans="2:10" x14ac:dyDescent="0.2">
      <c r="B59" s="193">
        <v>4</v>
      </c>
      <c r="C59" s="45" t="s">
        <v>471</v>
      </c>
      <c r="D59" s="236"/>
      <c r="E59" s="45"/>
      <c r="F59" s="45"/>
      <c r="G59" s="45"/>
      <c r="H59" s="45"/>
      <c r="I59" s="45"/>
    </row>
    <row r="60" spans="2:10" x14ac:dyDescent="0.2">
      <c r="B60" s="193">
        <v>5</v>
      </c>
      <c r="C60" s="45" t="s">
        <v>275</v>
      </c>
      <c r="D60" s="236"/>
      <c r="E60" s="45"/>
      <c r="F60" s="45"/>
      <c r="G60" s="45"/>
      <c r="H60" s="45"/>
      <c r="I60" s="45"/>
    </row>
    <row r="61" spans="2:10" x14ac:dyDescent="0.2">
      <c r="B61" s="193">
        <v>6</v>
      </c>
      <c r="C61" s="45" t="s">
        <v>279</v>
      </c>
      <c r="D61" s="236"/>
      <c r="E61" s="45"/>
      <c r="F61" s="45"/>
      <c r="G61" s="45"/>
      <c r="H61" s="45"/>
      <c r="I61" s="45"/>
    </row>
    <row r="63" spans="2:10" x14ac:dyDescent="0.2">
      <c r="C63" s="60"/>
      <c r="D63" s="272" t="s">
        <v>17</v>
      </c>
      <c r="E63" s="272" t="s">
        <v>19</v>
      </c>
      <c r="F63" s="272" t="s">
        <v>18</v>
      </c>
      <c r="I63" s="160" t="s">
        <v>262</v>
      </c>
    </row>
    <row r="64" spans="2:10" ht="158.5" customHeight="1" x14ac:dyDescent="0.2">
      <c r="C64" s="273" t="s">
        <v>283</v>
      </c>
      <c r="D64" s="274">
        <v>0.74</v>
      </c>
      <c r="E64" s="274">
        <v>0.82</v>
      </c>
      <c r="F64" s="275">
        <f>IFERROR(AVERAGE(D64:E64),"")</f>
        <v>0.78</v>
      </c>
      <c r="H64" s="254"/>
      <c r="I64" s="233" t="s">
        <v>531</v>
      </c>
      <c r="J64" s="31"/>
    </row>
    <row r="65" spans="3:9" ht="153" customHeight="1" x14ac:dyDescent="0.2">
      <c r="C65" s="273" t="s">
        <v>21</v>
      </c>
      <c r="D65" s="274">
        <v>0.03</v>
      </c>
      <c r="E65" s="274">
        <v>0.03</v>
      </c>
      <c r="F65" s="275">
        <f>IFERROR(AVERAGE(D65:E65),"")</f>
        <v>0.03</v>
      </c>
      <c r="I65" s="233" t="s">
        <v>532</v>
      </c>
    </row>
    <row r="66" spans="3:9" ht="160.5" customHeight="1" x14ac:dyDescent="0.2">
      <c r="C66" s="273" t="s">
        <v>286</v>
      </c>
      <c r="D66" s="274">
        <v>7.0000000000000007E-2</v>
      </c>
      <c r="E66" s="274">
        <v>0.05</v>
      </c>
      <c r="F66" s="276">
        <f>IFERROR(AVERAGE(D66:E66),"")</f>
        <v>6.0000000000000005E-2</v>
      </c>
      <c r="I66" s="233" t="s">
        <v>533</v>
      </c>
    </row>
    <row r="67" spans="3:9" ht="16" thickBot="1" x14ac:dyDescent="0.25"/>
    <row r="68" spans="3:9" ht="16" thickBot="1" x14ac:dyDescent="0.25">
      <c r="C68" s="269" t="s">
        <v>93</v>
      </c>
      <c r="D68" s="277">
        <f>1+'Background calculations'!C30</f>
        <v>1.692677</v>
      </c>
      <c r="E68" s="277">
        <f>1+'Background calculations'!D30</f>
        <v>1.775515</v>
      </c>
      <c r="F68" s="278">
        <f>IFERROR(1+'Background calculations'!E30,"")</f>
        <v>1.7339020000000001</v>
      </c>
    </row>
  </sheetData>
  <phoneticPr fontId="13" type="noConversion"/>
  <dataValidations count="1">
    <dataValidation type="list" allowBlank="1" showInputMessage="1" showErrorMessage="1" sqref="D8" xr:uid="{2B4E1ABC-D4B7-45FC-97CF-B8443EDA127C}">
      <formula1>"Urban, Peri-urban, Rural"</formula1>
    </dataValidation>
  </dataValidations>
  <hyperlinks>
    <hyperlink ref="E34" r:id="rId1" xr:uid="{596DCDA3-7104-4F60-BB33-CF13E8E58F19}"/>
    <hyperlink ref="E53" r:id="rId2" xr:uid="{C6DF2814-C0C2-4D02-86CA-9B01A40D15DD}"/>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C1305-355A-4C53-8EB4-0FB281EA5695}">
  <sheetPr>
    <tabColor theme="9"/>
  </sheetPr>
  <dimension ref="B2:V78"/>
  <sheetViews>
    <sheetView showGridLines="0" topLeftCell="A16" zoomScale="99" zoomScaleNormal="83" workbookViewId="0">
      <selection activeCell="T8" sqref="T8"/>
    </sheetView>
  </sheetViews>
  <sheetFormatPr baseColWidth="10" defaultColWidth="8.83203125" defaultRowHeight="15" x14ac:dyDescent="0.2"/>
  <cols>
    <col min="1" max="1" width="2.5" style="22" customWidth="1"/>
    <col min="2" max="2" width="2.1640625" style="22" customWidth="1"/>
    <col min="3" max="3" width="48.83203125" style="22" customWidth="1"/>
    <col min="4" max="4" width="22.1640625" style="22" customWidth="1"/>
    <col min="5" max="5" width="11.1640625" style="22" customWidth="1"/>
    <col min="6" max="6" width="15.83203125" style="22" customWidth="1"/>
    <col min="7" max="7" width="22.5" style="22" customWidth="1"/>
    <col min="8" max="8" width="15.5" style="22" customWidth="1"/>
    <col min="9" max="9" width="15.1640625" style="22" customWidth="1"/>
    <col min="10" max="10" width="14.83203125" style="22" customWidth="1"/>
    <col min="11" max="11" width="4.1640625" style="22" customWidth="1"/>
    <col min="12" max="12" width="11.5" style="22" customWidth="1"/>
    <col min="13" max="14" width="17.1640625" style="22" customWidth="1"/>
    <col min="15" max="15" width="12.1640625" style="22" customWidth="1"/>
    <col min="16" max="16" width="10.5" style="22" customWidth="1"/>
    <col min="17" max="18" width="12.1640625" style="22" customWidth="1"/>
    <col min="19" max="20" width="11.5" style="22" customWidth="1"/>
    <col min="21" max="23" width="8.83203125" style="22"/>
    <col min="24" max="24" width="11.1640625" style="22" customWidth="1"/>
    <col min="25" max="25" width="4.83203125" style="22" customWidth="1"/>
    <col min="26" max="27" width="8.83203125" style="22"/>
    <col min="28" max="28" width="13.83203125" style="22" customWidth="1"/>
    <col min="29" max="29" width="12.1640625" style="22" customWidth="1"/>
    <col min="30" max="30" width="8.83203125" style="22" customWidth="1"/>
    <col min="31" max="16384" width="8.83203125" style="22"/>
  </cols>
  <sheetData>
    <row r="2" spans="2:11" ht="62" x14ac:dyDescent="0.7">
      <c r="B2" s="131" t="s">
        <v>317</v>
      </c>
    </row>
    <row r="4" spans="2:11" ht="21" x14ac:dyDescent="0.25">
      <c r="B4" s="120" t="s">
        <v>368</v>
      </c>
      <c r="C4" s="121"/>
      <c r="D4" s="122"/>
      <c r="E4" s="122"/>
      <c r="F4" s="122"/>
      <c r="G4" s="122"/>
      <c r="H4" s="122"/>
      <c r="I4" s="122"/>
      <c r="J4" s="122"/>
      <c r="K4" s="122"/>
    </row>
    <row r="6" spans="2:11" x14ac:dyDescent="0.2">
      <c r="B6" s="23" t="s">
        <v>52</v>
      </c>
      <c r="C6" s="134"/>
    </row>
    <row r="7" spans="2:11" x14ac:dyDescent="0.2">
      <c r="B7" s="45" t="s">
        <v>491</v>
      </c>
      <c r="C7" s="236"/>
      <c r="D7" s="45"/>
      <c r="E7" s="45"/>
      <c r="F7" s="45"/>
      <c r="G7" s="45"/>
      <c r="H7" s="45"/>
      <c r="I7" s="45"/>
      <c r="J7" s="45"/>
      <c r="K7" s="45"/>
    </row>
    <row r="8" spans="2:11" ht="16" thickBot="1" x14ac:dyDescent="0.25"/>
    <row r="9" spans="2:11" ht="41.5" customHeight="1" x14ac:dyDescent="0.2">
      <c r="B9" s="135"/>
      <c r="C9" s="136" t="s">
        <v>318</v>
      </c>
      <c r="D9" s="137"/>
      <c r="E9" s="137"/>
      <c r="F9" s="137"/>
      <c r="G9" s="137"/>
      <c r="H9" s="137"/>
      <c r="I9" s="137"/>
      <c r="J9" s="137"/>
      <c r="K9" s="138"/>
    </row>
    <row r="10" spans="2:11" x14ac:dyDescent="0.2">
      <c r="B10" s="139"/>
      <c r="K10" s="140"/>
    </row>
    <row r="11" spans="2:11" x14ac:dyDescent="0.2">
      <c r="B11" s="139"/>
      <c r="C11" s="394" t="s">
        <v>369</v>
      </c>
      <c r="D11" s="394"/>
      <c r="K11" s="140"/>
    </row>
    <row r="12" spans="2:11" ht="24" x14ac:dyDescent="0.3">
      <c r="B12" s="139"/>
      <c r="D12" s="22" t="s">
        <v>401</v>
      </c>
      <c r="F12" s="22" t="s">
        <v>359</v>
      </c>
      <c r="G12" s="183"/>
      <c r="K12" s="140"/>
    </row>
    <row r="13" spans="2:11" x14ac:dyDescent="0.2">
      <c r="B13" s="139"/>
      <c r="C13" s="132" t="s">
        <v>370</v>
      </c>
      <c r="D13" s="141">
        <f>IFERROR(G50*D28,"")</f>
        <v>98297.020833333328</v>
      </c>
      <c r="F13" s="141">
        <f>IFERROR(D13/'OUTPUT_Living wage'!$E$10,"")</f>
        <v>26.747488662131516</v>
      </c>
      <c r="K13" s="140"/>
    </row>
    <row r="14" spans="2:11" x14ac:dyDescent="0.2">
      <c r="B14" s="139"/>
      <c r="C14" s="132"/>
      <c r="K14" s="140"/>
    </row>
    <row r="15" spans="2:11" x14ac:dyDescent="0.2">
      <c r="B15" s="139"/>
      <c r="K15" s="140"/>
    </row>
    <row r="16" spans="2:11" ht="16" x14ac:dyDescent="0.2">
      <c r="B16" s="139"/>
      <c r="C16" s="185" t="s">
        <v>466</v>
      </c>
      <c r="K16" s="140"/>
    </row>
    <row r="17" spans="2:11" x14ac:dyDescent="0.2">
      <c r="B17" s="139"/>
      <c r="D17" s="329"/>
      <c r="E17" s="71"/>
      <c r="K17" s="140"/>
    </row>
    <row r="18" spans="2:11" x14ac:dyDescent="0.2">
      <c r="B18" s="139"/>
      <c r="C18" s="132" t="s">
        <v>260</v>
      </c>
      <c r="D18" s="141">
        <f>IFERROR(D13*'Background calculations'!C89,"")</f>
        <v>36889.603682626614</v>
      </c>
      <c r="F18" s="141">
        <f>IFERROR(D18/'OUTPUT_Living wage'!$E$10,"")</f>
        <v>10.037987396633092</v>
      </c>
      <c r="K18" s="140"/>
    </row>
    <row r="19" spans="2:11" x14ac:dyDescent="0.2">
      <c r="B19" s="139"/>
      <c r="C19" s="132" t="s">
        <v>49</v>
      </c>
      <c r="D19" s="141">
        <f>IFERROR(D13*'Background calculations'!C90,"")</f>
        <v>11014.149340014659</v>
      </c>
      <c r="F19" s="141">
        <f>IFERROR(D19/'OUTPUT_Living wage'!$E$10,"")</f>
        <v>2.997047439459771</v>
      </c>
      <c r="K19" s="140"/>
    </row>
    <row r="20" spans="2:11" x14ac:dyDescent="0.2">
      <c r="B20" s="139"/>
      <c r="C20" s="132" t="s">
        <v>50</v>
      </c>
      <c r="D20" s="141">
        <f>IFERROR(D13*'Background calculations'!C91,"")</f>
        <v>5129.9504086962006</v>
      </c>
      <c r="F20" s="141">
        <f>IFERROR(D20/'OUTPUT_Living wage'!$E$10,"")</f>
        <v>1.3959048731146124</v>
      </c>
      <c r="K20" s="140"/>
    </row>
    <row r="21" spans="2:11" x14ac:dyDescent="0.2">
      <c r="B21" s="139"/>
      <c r="C21" s="132" t="s">
        <v>319</v>
      </c>
      <c r="D21" s="141">
        <f>IFERROR(D13*'Background calculations'!C92,"")</f>
        <v>45263.317401995853</v>
      </c>
      <c r="F21" s="141">
        <f>IFERROR(D21/'OUTPUT_Living wage'!$E$10,"")</f>
        <v>12.316548952924041</v>
      </c>
      <c r="K21" s="140"/>
    </row>
    <row r="22" spans="2:11" x14ac:dyDescent="0.2">
      <c r="B22" s="139"/>
      <c r="K22" s="140"/>
    </row>
    <row r="23" spans="2:11" x14ac:dyDescent="0.2">
      <c r="B23" s="139"/>
      <c r="E23" s="53"/>
      <c r="K23" s="140"/>
    </row>
    <row r="24" spans="2:11" ht="16" x14ac:dyDescent="0.2">
      <c r="B24" s="139"/>
      <c r="C24" s="185" t="s">
        <v>337</v>
      </c>
      <c r="E24" s="53"/>
      <c r="K24" s="140"/>
    </row>
    <row r="25" spans="2:11" x14ac:dyDescent="0.2">
      <c r="B25" s="139"/>
      <c r="C25" s="219" t="s">
        <v>501</v>
      </c>
      <c r="D25" s="237" t="str">
        <f>'OUTPUT_Living wage'!$E$15</f>
        <v>Personalized</v>
      </c>
      <c r="E25" s="53"/>
      <c r="K25" s="140"/>
    </row>
    <row r="26" spans="2:11" x14ac:dyDescent="0.2">
      <c r="B26" s="139"/>
      <c r="C26" s="132" t="s">
        <v>338</v>
      </c>
      <c r="D26" s="51">
        <f>IFERROR('Background calculations'!D10+'Background calculations'!D11,0)</f>
        <v>4</v>
      </c>
      <c r="K26" s="140"/>
    </row>
    <row r="27" spans="2:11" x14ac:dyDescent="0.2">
      <c r="B27" s="139"/>
      <c r="C27" s="132" t="s">
        <v>412</v>
      </c>
      <c r="D27" s="90">
        <v>2</v>
      </c>
      <c r="K27" s="140"/>
    </row>
    <row r="28" spans="2:11" x14ac:dyDescent="0.2">
      <c r="B28" s="139"/>
      <c r="C28" s="132" t="s">
        <v>431</v>
      </c>
      <c r="D28" s="51">
        <f>ROUNDUP(D26/D27,0)</f>
        <v>2</v>
      </c>
      <c r="F28" s="238"/>
      <c r="K28" s="140"/>
    </row>
    <row r="29" spans="2:11" ht="16" thickBot="1" x14ac:dyDescent="0.25">
      <c r="B29" s="142"/>
      <c r="C29" s="143"/>
      <c r="D29" s="143"/>
      <c r="E29" s="143"/>
      <c r="F29" s="143"/>
      <c r="G29" s="143"/>
      <c r="H29" s="143"/>
      <c r="I29" s="143"/>
      <c r="J29" s="143"/>
      <c r="K29" s="145"/>
    </row>
    <row r="30" spans="2:11" ht="16" thickBot="1" x14ac:dyDescent="0.25"/>
    <row r="31" spans="2:11" ht="24" x14ac:dyDescent="0.2">
      <c r="B31" s="135"/>
      <c r="C31" s="146" t="s">
        <v>320</v>
      </c>
      <c r="D31" s="137"/>
      <c r="E31" s="137"/>
      <c r="F31" s="137"/>
      <c r="G31" s="137"/>
      <c r="H31" s="137"/>
      <c r="I31" s="137"/>
      <c r="J31" s="137"/>
      <c r="K31" s="138"/>
    </row>
    <row r="32" spans="2:11" ht="14.5" customHeight="1" x14ac:dyDescent="0.2">
      <c r="B32" s="139"/>
      <c r="K32" s="140"/>
    </row>
    <row r="33" spans="2:20" ht="45" customHeight="1" x14ac:dyDescent="0.2">
      <c r="B33" s="139"/>
      <c r="C33" s="239" t="s">
        <v>122</v>
      </c>
      <c r="D33" s="240" t="s">
        <v>429</v>
      </c>
      <c r="E33" s="240" t="s">
        <v>578</v>
      </c>
      <c r="F33" s="240" t="s">
        <v>321</v>
      </c>
      <c r="G33" s="241" t="s">
        <v>430</v>
      </c>
      <c r="H33" s="395" t="s">
        <v>510</v>
      </c>
      <c r="I33" s="396"/>
      <c r="J33" s="396"/>
      <c r="K33" s="140"/>
    </row>
    <row r="34" spans="2:20" x14ac:dyDescent="0.2">
      <c r="B34" s="139"/>
      <c r="C34" s="242" t="s">
        <v>322</v>
      </c>
      <c r="D34" s="243" cm="1">
        <f t="array" ref="D34:D48">TRANSPOSE('Background calculations'!C62:Q62)</f>
        <v>90000</v>
      </c>
      <c r="E34" s="244" cm="1">
        <f t="array" ref="E34:E48">TRANSPOSE('CLS - Input data'!D23:R23)</f>
        <v>3</v>
      </c>
      <c r="F34" s="245" t="str">
        <f>IFERROR(IF('Background calculations'!C43,"Met","Not met"),"")</f>
        <v>Met</v>
      </c>
      <c r="G34" s="246">
        <f>IFERROR(IF('Background calculations'!C43,D34/E34,""),"")</f>
        <v>30000</v>
      </c>
      <c r="H34" s="397" t="str">
        <f>IFERROR(IF('Background calculations'!S43="No","Participant has been excluded from study",IF('Background calculations'!M43=FALSE,"Decent housing mandatory criteria not met",IF('Background calculations'!R43=FALSE,"Missing 2 or more decent housing 'additional' criteria",""))),"")</f>
        <v/>
      </c>
      <c r="I34" s="398"/>
      <c r="J34" s="398"/>
      <c r="K34" s="140"/>
    </row>
    <row r="35" spans="2:20" x14ac:dyDescent="0.2">
      <c r="B35" s="139"/>
      <c r="C35" s="242" t="s">
        <v>323</v>
      </c>
      <c r="D35" s="243">
        <v>140500</v>
      </c>
      <c r="E35" s="244">
        <v>2</v>
      </c>
      <c r="F35" s="245" t="str">
        <f>IFERROR(IF('Background calculations'!C44,"Met","Not met"),"")</f>
        <v>Met</v>
      </c>
      <c r="G35" s="246">
        <f>IFERROR(IF('Background calculations'!C44,D35/E35,""),"")</f>
        <v>70250</v>
      </c>
      <c r="H35" s="397" t="str">
        <f>IFERROR(IF('Background calculations'!S44="No","Participant has been excluded from study",IF('Background calculations'!M44=FALSE,"Decent housing mandatory criteria not met",IF('Background calculations'!R44=FALSE,"Missing 2 or more decent housing 'additional' criteria",""))),"")</f>
        <v/>
      </c>
      <c r="I35" s="398"/>
      <c r="J35" s="398"/>
      <c r="K35" s="140"/>
    </row>
    <row r="36" spans="2:20" x14ac:dyDescent="0.2">
      <c r="B36" s="139"/>
      <c r="C36" s="242" t="s">
        <v>324</v>
      </c>
      <c r="D36" s="243">
        <v>151000</v>
      </c>
      <c r="E36" s="244">
        <v>3</v>
      </c>
      <c r="F36" s="245" t="str">
        <f>IFERROR(IF('Background calculations'!C45,"Met","Not met"),"")</f>
        <v>Met</v>
      </c>
      <c r="G36" s="246">
        <f>IFERROR(IF('Background calculations'!C45,D36/E36,""),"")</f>
        <v>50333.333333333336</v>
      </c>
      <c r="H36" s="397" t="str">
        <f>IFERROR(IF('Background calculations'!S45="No","Participant has been excluded from study",IF('Background calculations'!M45=FALSE,"Decent housing mandatory criteria not met",IF('Background calculations'!R45=FALSE,"Missing 2 or more decent housing 'additional' criteria",""))),"")</f>
        <v/>
      </c>
      <c r="I36" s="398"/>
      <c r="J36" s="398"/>
      <c r="K36" s="140"/>
    </row>
    <row r="37" spans="2:20" x14ac:dyDescent="0.2">
      <c r="B37" s="139"/>
      <c r="C37" s="242" t="s">
        <v>325</v>
      </c>
      <c r="D37" s="243">
        <v>111500</v>
      </c>
      <c r="E37" s="244">
        <v>3</v>
      </c>
      <c r="F37" s="245" t="str">
        <f>IFERROR(IF('Background calculations'!C46,"Met","Not met"),"")</f>
        <v>Met</v>
      </c>
      <c r="G37" s="246">
        <f>IFERROR(IF('Background calculations'!C46,D37/E37,""),"")</f>
        <v>37166.666666666664</v>
      </c>
      <c r="H37" s="397" t="str">
        <f>IFERROR(IF('Background calculations'!S46="No","Participant has been excluded from study",IF('Background calculations'!M46=FALSE,"Decent housing mandatory criteria not met",IF('Background calculations'!R46=FALSE,"Missing 2 or more decent housing 'additional' criteria",""))),"")</f>
        <v/>
      </c>
      <c r="I37" s="398"/>
      <c r="J37" s="398"/>
      <c r="K37" s="140"/>
    </row>
    <row r="38" spans="2:20" x14ac:dyDescent="0.2">
      <c r="B38" s="139"/>
      <c r="C38" s="242" t="s">
        <v>326</v>
      </c>
      <c r="D38" s="243">
        <v>119000</v>
      </c>
      <c r="E38" s="244">
        <v>2</v>
      </c>
      <c r="F38" s="245" t="str">
        <f>IFERROR(IF('Background calculations'!C47,"Met","Not met"),"")</f>
        <v>Met</v>
      </c>
      <c r="G38" s="246">
        <f>IFERROR(IF('Background calculations'!C47,D38/E38,""),"")</f>
        <v>59500</v>
      </c>
      <c r="H38" s="397" t="str">
        <f>IFERROR(IF('Background calculations'!S47="No","Participant has been excluded from study",IF('Background calculations'!M47=FALSE,"Decent housing mandatory criteria not met",IF('Background calculations'!R47=FALSE,"Missing 2 or more decent housing 'additional' criteria",""))),"")</f>
        <v/>
      </c>
      <c r="I38" s="398"/>
      <c r="J38" s="398"/>
      <c r="K38" s="140"/>
    </row>
    <row r="39" spans="2:20" x14ac:dyDescent="0.2">
      <c r="B39" s="139"/>
      <c r="C39" s="242" t="s">
        <v>327</v>
      </c>
      <c r="D39" s="243">
        <v>150990</v>
      </c>
      <c r="E39" s="244">
        <v>3</v>
      </c>
      <c r="F39" s="245" t="str">
        <f>IFERROR(IF('Background calculations'!C48,"Met","Not met"),"")</f>
        <v>Met</v>
      </c>
      <c r="G39" s="246">
        <f>IFERROR(IF('Background calculations'!C48,D39/E39,""),"")</f>
        <v>50330</v>
      </c>
      <c r="H39" s="397" t="str">
        <f>IFERROR(IF('Background calculations'!S48="No","Participant has been excluded from study",IF('Background calculations'!M48=FALSE,"Decent housing mandatory criteria not met",IF('Background calculations'!R48=FALSE,"Missing 2 or more decent housing 'additional' criteria",""))),"")</f>
        <v/>
      </c>
      <c r="I39" s="398"/>
      <c r="J39" s="398"/>
      <c r="K39" s="140"/>
    </row>
    <row r="40" spans="2:20" x14ac:dyDescent="0.2">
      <c r="B40" s="139"/>
      <c r="C40" s="242" t="s">
        <v>328</v>
      </c>
      <c r="D40" s="243">
        <v>86500</v>
      </c>
      <c r="E40" s="244">
        <v>3</v>
      </c>
      <c r="F40" s="245" t="str">
        <f>IFERROR(IF('Background calculations'!C49,"Met","Not met"),"")</f>
        <v>Met</v>
      </c>
      <c r="G40" s="246">
        <f>IFERROR(IF('Background calculations'!C49,D40/E40,""),"")</f>
        <v>28833.333333333332</v>
      </c>
      <c r="H40" s="397" t="str">
        <f>IFERROR(IF('Background calculations'!S49="No","Participant has been excluded from study",IF('Background calculations'!M49=FALSE,"Decent housing mandatory criteria not met",IF('Background calculations'!R49=FALSE,"Missing 2 or more decent housing 'additional' criteria",""))),"")</f>
        <v/>
      </c>
      <c r="I40" s="398"/>
      <c r="J40" s="398"/>
      <c r="K40" s="140"/>
    </row>
    <row r="41" spans="2:20" x14ac:dyDescent="0.2">
      <c r="B41" s="139"/>
      <c r="C41" s="242" t="s">
        <v>329</v>
      </c>
      <c r="D41" s="243">
        <v>118000</v>
      </c>
      <c r="E41" s="244">
        <v>2</v>
      </c>
      <c r="F41" s="245" t="str">
        <f>IFERROR(IF('Background calculations'!C50,"Met","Not met"),"")</f>
        <v>Met</v>
      </c>
      <c r="G41" s="246">
        <f>IFERROR(IF('Background calculations'!C50,D41/E41,""),"")</f>
        <v>59000</v>
      </c>
      <c r="H41" s="397" t="str">
        <f>IFERROR(IF('Background calculations'!S50="No","Participant has been excluded from study",IF('Background calculations'!M50=FALSE,"Decent housing mandatory criteria not met",IF('Background calculations'!R50=FALSE,"Missing 2 or more decent housing 'additional' criteria",""))),"")</f>
        <v/>
      </c>
      <c r="I41" s="398"/>
      <c r="J41" s="398"/>
      <c r="K41" s="140"/>
      <c r="L41" s="365"/>
    </row>
    <row r="42" spans="2:20" x14ac:dyDescent="0.2">
      <c r="B42" s="139"/>
      <c r="C42" s="242" t="s">
        <v>330</v>
      </c>
      <c r="D42" s="243">
        <v>162010</v>
      </c>
      <c r="E42" s="244">
        <v>2</v>
      </c>
      <c r="F42" s="245" t="str">
        <f>IFERROR(IF('Background calculations'!C51,"Met","Not met"),"")</f>
        <v>Met</v>
      </c>
      <c r="G42" s="246">
        <f>IFERROR(IF('Background calculations'!C51,D42/E42,""),"")</f>
        <v>81005</v>
      </c>
      <c r="H42" s="397" t="str">
        <f>IFERROR(IF('Background calculations'!S51="No","Participant has been excluded from study",IF('Background calculations'!M51=FALSE,"Decent housing mandatory criteria not met",IF('Background calculations'!R51=FALSE,"Missing 2 or more decent housing 'additional' criteria",""))),"")</f>
        <v/>
      </c>
      <c r="I42" s="398"/>
      <c r="J42" s="398"/>
      <c r="K42" s="140"/>
    </row>
    <row r="43" spans="2:20" x14ac:dyDescent="0.2">
      <c r="B43" s="139"/>
      <c r="C43" s="242" t="s">
        <v>331</v>
      </c>
      <c r="D43" s="243">
        <v>171500</v>
      </c>
      <c r="E43" s="244">
        <v>3</v>
      </c>
      <c r="F43" s="245" t="str">
        <f>IFERROR(IF('Background calculations'!C52,"Met","Not met"),"")</f>
        <v>Met</v>
      </c>
      <c r="G43" s="246">
        <f>IFERROR(IF('Background calculations'!C52,D43/E43,""),"")</f>
        <v>57166.666666666664</v>
      </c>
      <c r="H43" s="397" t="str">
        <f>IFERROR(IF('Background calculations'!S52="No","Participant has been excluded from study",IF('Background calculations'!M52=FALSE,"Decent housing mandatory criteria not met",IF('Background calculations'!R52=FALSE,"Missing 2 or more decent housing 'additional' criteria",""))),"")</f>
        <v/>
      </c>
      <c r="I43" s="398"/>
      <c r="J43" s="398"/>
      <c r="K43" s="140"/>
    </row>
    <row r="44" spans="2:20" x14ac:dyDescent="0.2">
      <c r="B44" s="139"/>
      <c r="C44" s="242" t="s">
        <v>332</v>
      </c>
      <c r="D44" s="243">
        <v>128167</v>
      </c>
      <c r="E44" s="244">
        <v>2</v>
      </c>
      <c r="F44" s="245" t="str">
        <f>IFERROR(IF('Background calculations'!C53,"Met","Not met"),"")</f>
        <v>Met</v>
      </c>
      <c r="G44" s="246">
        <f>IFERROR(IF('Background calculations'!C53,D44/E44,""),"")</f>
        <v>64083.5</v>
      </c>
      <c r="H44" s="397" t="str">
        <f>IFERROR(IF('Background calculations'!S53="No","Participant has been excluded from study",IF('Background calculations'!M53=FALSE,"Decent housing mandatory criteria not met",IF('Background calculations'!R53=FALSE,"Missing 2 or more decent housing 'additional' criteria",""))),"")</f>
        <v/>
      </c>
      <c r="I44" s="398"/>
      <c r="J44" s="398"/>
      <c r="K44" s="140"/>
    </row>
    <row r="45" spans="2:20" x14ac:dyDescent="0.2">
      <c r="B45" s="139"/>
      <c r="C45" s="242" t="s">
        <v>333</v>
      </c>
      <c r="D45" s="243">
        <v>255000</v>
      </c>
      <c r="E45" s="244">
        <v>3</v>
      </c>
      <c r="F45" s="245" t="str">
        <f>IFERROR(IF('Background calculations'!C54,"Met","Not met"),"")</f>
        <v>Met</v>
      </c>
      <c r="G45" s="246">
        <f>IFERROR(IF('Background calculations'!C54,D45/E45,""),"")</f>
        <v>85000</v>
      </c>
      <c r="H45" s="397" t="str">
        <f>IFERROR(IF('Background calculations'!S54="No","Participant has been excluded from study",IF('Background calculations'!M54=FALSE,"Decent housing mandatory criteria not met",IF('Background calculations'!R54=FALSE,"Missing 2 or more decent housing 'additional' criteria",""))),"")</f>
        <v/>
      </c>
      <c r="I45" s="398"/>
      <c r="J45" s="398"/>
      <c r="K45" s="140"/>
    </row>
    <row r="46" spans="2:20" x14ac:dyDescent="0.2">
      <c r="B46" s="139"/>
      <c r="C46" s="242" t="s">
        <v>334</v>
      </c>
      <c r="D46" s="243">
        <v>80600</v>
      </c>
      <c r="E46" s="244">
        <v>3</v>
      </c>
      <c r="F46" s="245" t="str">
        <f>IFERROR(IF('Background calculations'!C55,"Met","Not met"),"")</f>
        <v>Met</v>
      </c>
      <c r="G46" s="246">
        <f>IFERROR(IF('Background calculations'!C55,D46/E46,""),"")</f>
        <v>26866.666666666668</v>
      </c>
      <c r="H46" s="397" t="str">
        <f>IFERROR(IF('Background calculations'!S55="No","Participant has been excluded from study",IF('Background calculations'!M55=FALSE,"Decent housing mandatory criteria not met",IF('Background calculations'!R55=FALSE,"Missing 2 or more decent housing 'additional' criteria",""))),"")</f>
        <v/>
      </c>
      <c r="I46" s="398"/>
      <c r="J46" s="398"/>
      <c r="K46" s="140"/>
    </row>
    <row r="47" spans="2:20" x14ac:dyDescent="0.2">
      <c r="B47" s="139"/>
      <c r="C47" s="242" t="s">
        <v>335</v>
      </c>
      <c r="D47" s="243">
        <v>93000</v>
      </c>
      <c r="E47" s="244">
        <v>3</v>
      </c>
      <c r="F47" s="245" t="str">
        <f>IFERROR(IF('Background calculations'!C56,"Met","Not met"),"")</f>
        <v>Met</v>
      </c>
      <c r="G47" s="246">
        <f>IFERROR(IF('Background calculations'!C56,D47/E47,""),"")</f>
        <v>31000</v>
      </c>
      <c r="H47" s="397" t="str">
        <f>IFERROR(IF('Background calculations'!S56="No","Participant has been excluded from study",IF('Background calculations'!M56=FALSE,"Decent housing mandatory criteria not met",IF('Background calculations'!R56=FALSE,"Missing 2 or more decent housing 'additional' criteria",""))),"")</f>
        <v/>
      </c>
      <c r="I47" s="398"/>
      <c r="J47" s="398"/>
      <c r="K47" s="140"/>
      <c r="T47" s="63"/>
    </row>
    <row r="48" spans="2:20" x14ac:dyDescent="0.2">
      <c r="B48" s="139"/>
      <c r="C48" s="247" t="s">
        <v>336</v>
      </c>
      <c r="D48" s="243">
        <v>111680</v>
      </c>
      <c r="E48" s="244">
        <v>2</v>
      </c>
      <c r="F48" s="245" t="str">
        <f>IFERROR(IF('Background calculations'!C57,"Met","Not met"),"")</f>
        <v>Met</v>
      </c>
      <c r="G48" s="246">
        <f>IFERROR(IF('Background calculations'!C57,D48/E48,""),"")</f>
        <v>55840</v>
      </c>
      <c r="H48" s="397" t="str">
        <f>IFERROR(IF('Background calculations'!S57="No","Participant has been excluded from study",IF('Background calculations'!M57=FALSE,"Decent housing mandatory criteria not met",IF('Background calculations'!R57=FALSE,"Missing 2 or more decent housing 'additional' criteria",""))),"")</f>
        <v/>
      </c>
      <c r="I48" s="398"/>
      <c r="J48" s="398"/>
      <c r="K48" s="140"/>
    </row>
    <row r="49" spans="2:13" x14ac:dyDescent="0.2">
      <c r="B49" s="139"/>
      <c r="K49" s="140"/>
    </row>
    <row r="50" spans="2:13" x14ac:dyDescent="0.2">
      <c r="B50" s="139"/>
      <c r="F50" s="248" t="s">
        <v>560</v>
      </c>
      <c r="G50" s="249">
        <f>IFERROR(AVERAGE(G34:G48,1),"")</f>
        <v>49148.510416666664</v>
      </c>
      <c r="K50" s="140"/>
    </row>
    <row r="51" spans="2:13" ht="16" thickBot="1" x14ac:dyDescent="0.25">
      <c r="B51" s="142"/>
      <c r="C51" s="143"/>
      <c r="D51" s="143"/>
      <c r="E51" s="250"/>
      <c r="F51" s="143"/>
      <c r="G51" s="143"/>
      <c r="H51" s="143"/>
      <c r="I51" s="143"/>
      <c r="J51" s="143"/>
      <c r="K51" s="145"/>
    </row>
    <row r="52" spans="2:13" x14ac:dyDescent="0.2">
      <c r="E52" s="251"/>
    </row>
    <row r="53" spans="2:13" x14ac:dyDescent="0.2">
      <c r="M53" s="132"/>
    </row>
    <row r="55" spans="2:13" x14ac:dyDescent="0.2">
      <c r="D55" s="329"/>
    </row>
    <row r="68" spans="6:22" x14ac:dyDescent="0.2">
      <c r="T68" s="116"/>
      <c r="U68" s="116"/>
      <c r="V68" s="116"/>
    </row>
    <row r="78" spans="6:22" x14ac:dyDescent="0.2">
      <c r="F78" s="252"/>
      <c r="G78" s="252"/>
      <c r="H78" s="252"/>
      <c r="I78" s="252"/>
      <c r="J78" s="252"/>
    </row>
  </sheetData>
  <mergeCells count="17">
    <mergeCell ref="H47:J47"/>
    <mergeCell ref="H48:J48"/>
    <mergeCell ref="H42:J42"/>
    <mergeCell ref="H43:J43"/>
    <mergeCell ref="H44:J44"/>
    <mergeCell ref="H45:J45"/>
    <mergeCell ref="H46:J46"/>
    <mergeCell ref="H37:J37"/>
    <mergeCell ref="H38:J38"/>
    <mergeCell ref="H39:J39"/>
    <mergeCell ref="H40:J40"/>
    <mergeCell ref="H41:J41"/>
    <mergeCell ref="C11:D11"/>
    <mergeCell ref="H33:J33"/>
    <mergeCell ref="H34:J34"/>
    <mergeCell ref="H35:J35"/>
    <mergeCell ref="H36:J36"/>
  </mergeCells>
  <phoneticPr fontId="13" type="noConversion"/>
  <conditionalFormatting sqref="F34:F48">
    <cfRule type="containsText" dxfId="14" priority="3" operator="containsText" text="Not met">
      <formula>NOT(ISERROR(SEARCH("Not met",F34)))</formula>
    </cfRule>
    <cfRule type="containsText" dxfId="13" priority="4" operator="containsText" text="Met">
      <formula>NOT(ISERROR(SEARCH("Met",F34)))</formula>
    </cfRule>
  </conditionalFormatting>
  <conditionalFormatting sqref="L34:L48">
    <cfRule type="aboveAverage" dxfId="12" priority="1" aboveAverage="0" stdDev="2"/>
    <cfRule type="aboveAverage" dxfId="11" priority="2" stdDev="2"/>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C633B-49FE-49AC-B39A-4762F32BE0C6}">
  <sheetPr>
    <tabColor theme="9" tint="0.59999389629810485"/>
  </sheetPr>
  <dimension ref="A2:X53"/>
  <sheetViews>
    <sheetView showGridLines="0" topLeftCell="A22" zoomScale="52" zoomScaleNormal="70" workbookViewId="0">
      <selection activeCell="I16" sqref="I15:S19"/>
    </sheetView>
  </sheetViews>
  <sheetFormatPr baseColWidth="10" defaultColWidth="8.83203125" defaultRowHeight="15" x14ac:dyDescent="0.2"/>
  <cols>
    <col min="1" max="1" width="3.1640625" style="22" customWidth="1"/>
    <col min="2" max="2" width="32" style="22" customWidth="1"/>
    <col min="3" max="3" width="42.1640625" style="22" customWidth="1"/>
    <col min="4" max="4" width="29.1640625" style="22" customWidth="1"/>
    <col min="5" max="5" width="18.1640625" style="75" customWidth="1"/>
    <col min="6" max="6" width="10.1640625" style="75" customWidth="1"/>
    <col min="7" max="7" width="11" style="75" bestFit="1" customWidth="1"/>
    <col min="8" max="8" width="10.1640625" style="75" customWidth="1"/>
    <col min="9" max="9" width="10.5" style="75" customWidth="1"/>
    <col min="10" max="12" width="10.1640625" style="75" customWidth="1"/>
    <col min="13" max="13" width="12" style="75" customWidth="1"/>
    <col min="14" max="14" width="12.5" style="75" bestFit="1" customWidth="1"/>
    <col min="15" max="15" width="11" style="75" bestFit="1" customWidth="1"/>
    <col min="16" max="16" width="11.5" style="75" customWidth="1"/>
    <col min="17" max="19" width="10.1640625" style="75" customWidth="1"/>
    <col min="20" max="20" width="10.1640625" style="22" customWidth="1"/>
    <col min="21" max="21" width="34.5" style="22" customWidth="1"/>
    <col min="22" max="22" width="68.83203125" style="22" customWidth="1"/>
    <col min="23" max="16384" width="8.83203125" style="22"/>
  </cols>
  <sheetData>
    <row r="2" spans="1:21" ht="62" x14ac:dyDescent="0.7">
      <c r="A2" s="228" t="s">
        <v>317</v>
      </c>
    </row>
    <row r="4" spans="1:21" ht="21" x14ac:dyDescent="0.25">
      <c r="B4" s="126" t="s">
        <v>474</v>
      </c>
      <c r="C4" s="28"/>
      <c r="D4" s="28"/>
      <c r="E4" s="29"/>
      <c r="F4" s="29"/>
      <c r="G4" s="29"/>
      <c r="H4" s="29"/>
      <c r="I4" s="126"/>
      <c r="J4" s="28"/>
      <c r="K4" s="28"/>
      <c r="L4" s="29"/>
      <c r="M4" s="29"/>
      <c r="N4" s="29"/>
      <c r="O4" s="29"/>
      <c r="P4" s="126"/>
      <c r="Q4" s="28"/>
      <c r="R4" s="28"/>
      <c r="S4" s="29"/>
    </row>
    <row r="6" spans="1:21" ht="21" x14ac:dyDescent="0.25">
      <c r="B6" s="155" t="s">
        <v>52</v>
      </c>
      <c r="C6" s="134"/>
      <c r="E6" s="22"/>
      <c r="F6" s="22"/>
      <c r="G6" s="22"/>
      <c r="H6" s="22"/>
      <c r="I6" s="22"/>
    </row>
    <row r="7" spans="1:21" ht="104.25" customHeight="1" x14ac:dyDescent="0.2">
      <c r="B7" s="417" t="s">
        <v>475</v>
      </c>
      <c r="C7" s="417"/>
      <c r="D7" s="417"/>
      <c r="E7" s="417"/>
      <c r="F7" s="417"/>
      <c r="G7" s="417"/>
      <c r="H7" s="417"/>
      <c r="I7" s="417"/>
      <c r="J7" s="417"/>
      <c r="K7" s="417"/>
      <c r="L7" s="417"/>
      <c r="M7" s="417"/>
      <c r="N7" s="417"/>
      <c r="O7" s="417"/>
      <c r="P7" s="417"/>
      <c r="Q7" s="417"/>
      <c r="R7" s="417"/>
      <c r="S7" s="417"/>
    </row>
    <row r="9" spans="1:21" x14ac:dyDescent="0.2">
      <c r="B9" s="413" t="s">
        <v>382</v>
      </c>
      <c r="C9" s="413"/>
      <c r="D9" s="413" t="s">
        <v>391</v>
      </c>
      <c r="E9" s="413"/>
      <c r="F9" s="413"/>
      <c r="G9" s="413"/>
    </row>
    <row r="10" spans="1:21" ht="65.5" customHeight="1" x14ac:dyDescent="0.2">
      <c r="B10" s="406" t="s">
        <v>383</v>
      </c>
      <c r="C10" s="406"/>
      <c r="D10" s="418" t="s">
        <v>534</v>
      </c>
      <c r="E10" s="419"/>
      <c r="F10" s="419"/>
      <c r="G10" s="420"/>
      <c r="I10" s="22"/>
    </row>
    <row r="11" spans="1:21" ht="148" customHeight="1" x14ac:dyDescent="0.2">
      <c r="B11" s="406" t="s">
        <v>386</v>
      </c>
      <c r="C11" s="406"/>
      <c r="D11" s="418" t="s">
        <v>614</v>
      </c>
      <c r="E11" s="419"/>
      <c r="F11" s="419"/>
      <c r="G11" s="420"/>
    </row>
    <row r="12" spans="1:21" ht="109" customHeight="1" x14ac:dyDescent="0.2">
      <c r="B12" s="406" t="s">
        <v>385</v>
      </c>
      <c r="C12" s="406"/>
      <c r="D12" s="418" t="s">
        <v>615</v>
      </c>
      <c r="E12" s="419"/>
      <c r="F12" s="419"/>
      <c r="G12" s="420"/>
    </row>
    <row r="13" spans="1:21" ht="118" customHeight="1" x14ac:dyDescent="0.2">
      <c r="B13" s="406" t="s">
        <v>384</v>
      </c>
      <c r="C13" s="406"/>
      <c r="D13" s="418" t="s">
        <v>616</v>
      </c>
      <c r="E13" s="419"/>
      <c r="F13" s="419"/>
      <c r="G13" s="420"/>
    </row>
    <row r="14" spans="1:21" ht="14.5" customHeight="1" x14ac:dyDescent="0.2">
      <c r="T14" s="75"/>
      <c r="U14" s="75"/>
    </row>
    <row r="15" spans="1:21" ht="14.5" customHeight="1" x14ac:dyDescent="0.2">
      <c r="B15" s="413" t="s">
        <v>374</v>
      </c>
      <c r="C15" s="413"/>
      <c r="D15" s="413" t="s">
        <v>391</v>
      </c>
      <c r="E15" s="413"/>
      <c r="F15" s="413"/>
      <c r="G15" s="413"/>
      <c r="I15" s="410" t="s">
        <v>262</v>
      </c>
      <c r="J15" s="410"/>
      <c r="K15" s="410"/>
      <c r="L15" s="410"/>
      <c r="M15" s="410"/>
      <c r="N15" s="410"/>
      <c r="O15" s="410"/>
      <c r="P15" s="410"/>
      <c r="Q15" s="410"/>
      <c r="R15" s="410"/>
      <c r="S15" s="410"/>
    </row>
    <row r="16" spans="1:21" ht="176.25" customHeight="1" x14ac:dyDescent="0.2">
      <c r="B16" s="406" t="s">
        <v>387</v>
      </c>
      <c r="C16" s="406"/>
      <c r="D16" s="414" t="s">
        <v>623</v>
      </c>
      <c r="E16" s="415"/>
      <c r="F16" s="415"/>
      <c r="G16" s="416"/>
      <c r="I16" s="411" t="s">
        <v>536</v>
      </c>
      <c r="J16" s="411"/>
      <c r="K16" s="411"/>
      <c r="L16" s="411"/>
      <c r="M16" s="411"/>
      <c r="N16" s="411"/>
      <c r="O16" s="411"/>
      <c r="P16" s="411"/>
      <c r="Q16" s="411"/>
      <c r="R16" s="411"/>
      <c r="S16" s="411"/>
    </row>
    <row r="17" spans="2:22" ht="152.25" customHeight="1" x14ac:dyDescent="0.2">
      <c r="B17" s="406" t="s">
        <v>390</v>
      </c>
      <c r="C17" s="406"/>
      <c r="D17" s="414" t="s">
        <v>627</v>
      </c>
      <c r="E17" s="415"/>
      <c r="F17" s="415"/>
      <c r="G17" s="416"/>
      <c r="I17" s="411"/>
      <c r="J17" s="411"/>
      <c r="K17" s="411"/>
      <c r="L17" s="411"/>
      <c r="M17" s="411"/>
      <c r="N17" s="411"/>
      <c r="O17" s="411"/>
      <c r="P17" s="411"/>
      <c r="Q17" s="411"/>
      <c r="R17" s="411"/>
      <c r="S17" s="411"/>
    </row>
    <row r="18" spans="2:22" ht="148" customHeight="1" x14ac:dyDescent="0.2">
      <c r="B18" s="406" t="s">
        <v>388</v>
      </c>
      <c r="C18" s="406"/>
      <c r="D18" s="414" t="s">
        <v>535</v>
      </c>
      <c r="E18" s="415"/>
      <c r="F18" s="415"/>
      <c r="G18" s="416"/>
      <c r="I18" s="411"/>
      <c r="J18" s="411"/>
      <c r="K18" s="411"/>
      <c r="L18" s="411"/>
      <c r="M18" s="411"/>
      <c r="N18" s="411"/>
      <c r="O18" s="411"/>
      <c r="P18" s="411"/>
      <c r="Q18" s="411"/>
      <c r="R18" s="411"/>
      <c r="S18" s="411"/>
    </row>
    <row r="19" spans="2:22" ht="156" customHeight="1" x14ac:dyDescent="0.2">
      <c r="B19" s="406" t="s">
        <v>389</v>
      </c>
      <c r="C19" s="406"/>
      <c r="D19" s="414" t="s">
        <v>617</v>
      </c>
      <c r="E19" s="415"/>
      <c r="F19" s="415"/>
      <c r="G19" s="416"/>
      <c r="I19" s="411"/>
      <c r="J19" s="411"/>
      <c r="K19" s="411"/>
      <c r="L19" s="411"/>
      <c r="M19" s="411"/>
      <c r="N19" s="411"/>
      <c r="O19" s="411"/>
      <c r="P19" s="411"/>
      <c r="Q19" s="411"/>
      <c r="R19" s="411"/>
      <c r="S19" s="411"/>
    </row>
    <row r="21" spans="2:22" ht="17.25" customHeight="1" x14ac:dyDescent="0.25">
      <c r="B21" s="155" t="s">
        <v>52</v>
      </c>
      <c r="C21" s="134"/>
      <c r="E21" s="22"/>
      <c r="F21" s="22"/>
      <c r="G21" s="22"/>
      <c r="H21" s="22"/>
      <c r="I21" s="22"/>
    </row>
    <row r="22" spans="2:22" ht="176.25" customHeight="1" x14ac:dyDescent="0.2">
      <c r="B22" s="412" t="s">
        <v>537</v>
      </c>
      <c r="C22" s="412"/>
      <c r="D22" s="412"/>
      <c r="E22" s="412"/>
      <c r="F22" s="412"/>
      <c r="G22" s="412"/>
      <c r="H22" s="412"/>
      <c r="I22" s="412"/>
      <c r="J22" s="412"/>
      <c r="K22" s="412"/>
      <c r="L22" s="412"/>
      <c r="M22" s="412"/>
      <c r="N22" s="412"/>
      <c r="O22" s="412"/>
      <c r="P22" s="412"/>
      <c r="Q22" s="412"/>
      <c r="R22" s="412"/>
      <c r="S22" s="412"/>
    </row>
    <row r="23" spans="2:22" ht="17.25" customHeight="1" x14ac:dyDescent="0.2">
      <c r="E23" s="22"/>
      <c r="F23" s="22"/>
      <c r="G23" s="22"/>
      <c r="H23" s="22"/>
      <c r="I23" s="22"/>
      <c r="J23" s="22"/>
      <c r="K23" s="22"/>
      <c r="L23" s="22"/>
      <c r="M23" s="22"/>
      <c r="N23" s="22"/>
      <c r="O23" s="22"/>
      <c r="P23" s="22"/>
      <c r="Q23" s="22"/>
      <c r="R23" s="22"/>
      <c r="S23" s="22"/>
    </row>
    <row r="24" spans="2:22" ht="25.5" customHeight="1" x14ac:dyDescent="0.2">
      <c r="B24" s="407" t="s">
        <v>452</v>
      </c>
      <c r="C24" s="408"/>
      <c r="D24" s="408"/>
      <c r="E24" s="408"/>
      <c r="F24" s="408"/>
      <c r="G24" s="408"/>
      <c r="H24" s="408"/>
      <c r="I24" s="408"/>
      <c r="J24" s="408"/>
      <c r="K24" s="408"/>
      <c r="L24" s="408"/>
      <c r="M24" s="408"/>
      <c r="N24" s="408"/>
      <c r="O24" s="408"/>
      <c r="P24" s="408"/>
      <c r="Q24" s="408"/>
      <c r="R24" s="408"/>
      <c r="S24" s="409"/>
    </row>
    <row r="25" spans="2:22" ht="20.5" customHeight="1" x14ac:dyDescent="0.2">
      <c r="B25" s="229"/>
      <c r="C25" s="230"/>
      <c r="D25" s="230"/>
      <c r="E25" s="405" t="s">
        <v>373</v>
      </c>
      <c r="F25" s="405"/>
      <c r="G25" s="405"/>
      <c r="H25" s="405"/>
      <c r="I25" s="405"/>
      <c r="J25" s="405"/>
      <c r="K25" s="405"/>
      <c r="L25" s="405"/>
      <c r="M25" s="405"/>
      <c r="N25" s="405"/>
      <c r="O25" s="405"/>
      <c r="P25" s="405"/>
      <c r="Q25" s="405"/>
      <c r="R25" s="405"/>
      <c r="S25" s="405"/>
    </row>
    <row r="26" spans="2:22" ht="20.5" customHeight="1" x14ac:dyDescent="0.2">
      <c r="B26" s="229"/>
      <c r="C26" s="230"/>
      <c r="D26" s="230"/>
      <c r="E26" s="231">
        <v>1</v>
      </c>
      <c r="F26" s="231">
        <v>2</v>
      </c>
      <c r="G26" s="231">
        <v>3</v>
      </c>
      <c r="H26" s="231">
        <v>4</v>
      </c>
      <c r="I26" s="231">
        <v>5</v>
      </c>
      <c r="J26" s="231">
        <v>6</v>
      </c>
      <c r="K26" s="231">
        <v>7</v>
      </c>
      <c r="L26" s="231">
        <v>8</v>
      </c>
      <c r="M26" s="231">
        <v>9</v>
      </c>
      <c r="N26" s="231">
        <v>10</v>
      </c>
      <c r="O26" s="231">
        <v>11</v>
      </c>
      <c r="P26" s="231">
        <v>12</v>
      </c>
      <c r="Q26" s="231">
        <v>13</v>
      </c>
      <c r="R26" s="231">
        <v>14</v>
      </c>
      <c r="S26" s="231">
        <v>15</v>
      </c>
      <c r="U26" s="160" t="s">
        <v>52</v>
      </c>
      <c r="V26" s="160"/>
    </row>
    <row r="27" spans="2:22" ht="38.25" customHeight="1" x14ac:dyDescent="0.2">
      <c r="B27" s="400" t="s">
        <v>519</v>
      </c>
      <c r="C27" s="401"/>
      <c r="D27" s="402"/>
      <c r="E27" s="232" t="s">
        <v>632</v>
      </c>
      <c r="F27" s="232" t="s">
        <v>632</v>
      </c>
      <c r="G27" s="232" t="s">
        <v>632</v>
      </c>
      <c r="H27" s="232" t="s">
        <v>632</v>
      </c>
      <c r="I27" s="232" t="s">
        <v>632</v>
      </c>
      <c r="J27" s="232" t="s">
        <v>632</v>
      </c>
      <c r="K27" s="232" t="s">
        <v>632</v>
      </c>
      <c r="L27" s="232" t="s">
        <v>632</v>
      </c>
      <c r="M27" s="232" t="s">
        <v>632</v>
      </c>
      <c r="N27" s="232" t="s">
        <v>632</v>
      </c>
      <c r="O27" s="232" t="s">
        <v>632</v>
      </c>
      <c r="P27" s="232" t="s">
        <v>632</v>
      </c>
      <c r="Q27" s="232" t="s">
        <v>632</v>
      </c>
      <c r="R27" s="232" t="s">
        <v>632</v>
      </c>
      <c r="S27" s="232" t="s">
        <v>632</v>
      </c>
      <c r="U27" s="403" t="s">
        <v>520</v>
      </c>
      <c r="V27" s="404"/>
    </row>
    <row r="28" spans="2:22" ht="38.25" customHeight="1" x14ac:dyDescent="0.2">
      <c r="B28" s="96" t="s">
        <v>439</v>
      </c>
      <c r="C28" s="96" t="s">
        <v>60</v>
      </c>
      <c r="D28" s="96" t="s">
        <v>133</v>
      </c>
      <c r="E28" s="232" t="s">
        <v>632</v>
      </c>
      <c r="F28" s="232" t="s">
        <v>632</v>
      </c>
      <c r="G28" s="232" t="s">
        <v>632</v>
      </c>
      <c r="H28" s="232" t="s">
        <v>632</v>
      </c>
      <c r="I28" s="232" t="s">
        <v>632</v>
      </c>
      <c r="J28" s="232" t="s">
        <v>632</v>
      </c>
      <c r="K28" s="232" t="s">
        <v>632</v>
      </c>
      <c r="L28" s="232" t="s">
        <v>632</v>
      </c>
      <c r="M28" s="232" t="s">
        <v>632</v>
      </c>
      <c r="N28" s="232" t="s">
        <v>632</v>
      </c>
      <c r="O28" s="232" t="s">
        <v>632</v>
      </c>
      <c r="P28" s="232" t="s">
        <v>632</v>
      </c>
      <c r="Q28" s="232" t="s">
        <v>632</v>
      </c>
      <c r="R28" s="232" t="s">
        <v>632</v>
      </c>
      <c r="S28" s="232" t="s">
        <v>632</v>
      </c>
      <c r="U28" s="233" t="s">
        <v>413</v>
      </c>
      <c r="V28" s="233" t="str">
        <f>D11</f>
        <v>The minimum standard is to have permanent walls.
Accepted: Brick/cement/stone/well-joined walls
Unaccepted: Mud, mud with Stone, sticks, bamboo or iron sheets are unacceptable. Wood-walls is unacceptable in case of high risks of hurricanes in the region</v>
      </c>
    </row>
    <row r="29" spans="2:22" ht="38.25" customHeight="1" x14ac:dyDescent="0.2">
      <c r="B29" s="96" t="s">
        <v>439</v>
      </c>
      <c r="C29" s="96" t="s">
        <v>61</v>
      </c>
      <c r="D29" s="96" t="s">
        <v>134</v>
      </c>
      <c r="E29" s="232" t="s">
        <v>632</v>
      </c>
      <c r="F29" s="232" t="s">
        <v>632</v>
      </c>
      <c r="G29" s="232" t="s">
        <v>632</v>
      </c>
      <c r="H29" s="232" t="s">
        <v>632</v>
      </c>
      <c r="I29" s="232" t="s">
        <v>632</v>
      </c>
      <c r="J29" s="232" t="s">
        <v>632</v>
      </c>
      <c r="K29" s="232" t="s">
        <v>632</v>
      </c>
      <c r="L29" s="232" t="s">
        <v>632</v>
      </c>
      <c r="M29" s="232" t="s">
        <v>632</v>
      </c>
      <c r="N29" s="232" t="s">
        <v>632</v>
      </c>
      <c r="O29" s="232" t="s">
        <v>632</v>
      </c>
      <c r="P29" s="232" t="s">
        <v>632</v>
      </c>
      <c r="Q29" s="232" t="s">
        <v>632</v>
      </c>
      <c r="R29" s="232" t="s">
        <v>632</v>
      </c>
      <c r="S29" s="232" t="s">
        <v>632</v>
      </c>
      <c r="U29" s="233" t="s">
        <v>413</v>
      </c>
      <c r="V29" s="233" t="str">
        <f>D12</f>
        <v>The minimum standard is to have permanent roof without leaks. 
Accepted: Zinc or iron sheet/corrugated iron/ cement/tile roof
Unaccepted: Thatch is unacceptable</v>
      </c>
    </row>
    <row r="30" spans="2:22" ht="38.25" customHeight="1" x14ac:dyDescent="0.2">
      <c r="B30" s="96" t="s">
        <v>439</v>
      </c>
      <c r="C30" s="96" t="s">
        <v>62</v>
      </c>
      <c r="D30" s="96" t="s">
        <v>135</v>
      </c>
      <c r="E30" s="232" t="s">
        <v>632</v>
      </c>
      <c r="F30" s="232" t="s">
        <v>632</v>
      </c>
      <c r="G30" s="232" t="s">
        <v>632</v>
      </c>
      <c r="H30" s="232" t="s">
        <v>632</v>
      </c>
      <c r="I30" s="232" t="s">
        <v>632</v>
      </c>
      <c r="J30" s="232" t="s">
        <v>632</v>
      </c>
      <c r="K30" s="232" t="s">
        <v>632</v>
      </c>
      <c r="L30" s="232" t="s">
        <v>632</v>
      </c>
      <c r="M30" s="232" t="s">
        <v>632</v>
      </c>
      <c r="N30" s="232" t="s">
        <v>632</v>
      </c>
      <c r="O30" s="232" t="s">
        <v>632</v>
      </c>
      <c r="P30" s="232" t="s">
        <v>632</v>
      </c>
      <c r="Q30" s="232" t="s">
        <v>632</v>
      </c>
      <c r="R30" s="232" t="s">
        <v>632</v>
      </c>
      <c r="S30" s="232" t="s">
        <v>632</v>
      </c>
      <c r="U30" s="233" t="s">
        <v>413</v>
      </c>
      <c r="V30" s="233" t="str">
        <f>D13</f>
        <v>The minimum standard is to have permanent floor above ground. 
Accepted: Cement/stone/tile/wood floor
Unaccepted: Mud, earth/dung, thatch</v>
      </c>
    </row>
    <row r="31" spans="2:22" ht="38.25" customHeight="1" x14ac:dyDescent="0.2">
      <c r="B31" s="96" t="s">
        <v>440</v>
      </c>
      <c r="C31" s="96" t="s">
        <v>433</v>
      </c>
      <c r="D31" s="96" t="s">
        <v>136</v>
      </c>
      <c r="E31" s="232" t="s">
        <v>632</v>
      </c>
      <c r="F31" s="232" t="s">
        <v>632</v>
      </c>
      <c r="G31" s="232" t="s">
        <v>632</v>
      </c>
      <c r="H31" s="232" t="s">
        <v>632</v>
      </c>
      <c r="I31" s="232" t="s">
        <v>632</v>
      </c>
      <c r="J31" s="232" t="s">
        <v>632</v>
      </c>
      <c r="K31" s="232" t="s">
        <v>632</v>
      </c>
      <c r="L31" s="232" t="s">
        <v>632</v>
      </c>
      <c r="M31" s="232" t="s">
        <v>632</v>
      </c>
      <c r="N31" s="232" t="s">
        <v>632</v>
      </c>
      <c r="O31" s="232" t="s">
        <v>632</v>
      </c>
      <c r="P31" s="232" t="s">
        <v>632</v>
      </c>
      <c r="Q31" s="232" t="s">
        <v>632</v>
      </c>
      <c r="R31" s="232" t="s">
        <v>632</v>
      </c>
      <c r="S31" s="232" t="s">
        <v>632</v>
      </c>
      <c r="U31" s="233" t="s">
        <v>413</v>
      </c>
      <c r="V31" s="233" t="str">
        <f>D16</f>
        <v>Safe toilet in or near house. 
Unaccepted: Pit latrine without slab or open pit is unacceptable
We consider pit latrine with slab minimum acceptable</v>
      </c>
    </row>
    <row r="32" spans="2:22" ht="38.25" customHeight="1" x14ac:dyDescent="0.2">
      <c r="B32" s="96" t="s">
        <v>441</v>
      </c>
      <c r="C32" s="96" t="s">
        <v>433</v>
      </c>
      <c r="D32" s="96" t="s">
        <v>137</v>
      </c>
      <c r="E32" s="232" t="s">
        <v>632</v>
      </c>
      <c r="F32" s="232" t="s">
        <v>632</v>
      </c>
      <c r="G32" s="232" t="s">
        <v>632</v>
      </c>
      <c r="H32" s="232" t="s">
        <v>632</v>
      </c>
      <c r="I32" s="232" t="s">
        <v>632</v>
      </c>
      <c r="J32" s="232" t="s">
        <v>632</v>
      </c>
      <c r="K32" s="232" t="s">
        <v>632</v>
      </c>
      <c r="L32" s="232" t="s">
        <v>632</v>
      </c>
      <c r="M32" s="232" t="s">
        <v>632</v>
      </c>
      <c r="N32" s="232" t="s">
        <v>632</v>
      </c>
      <c r="O32" s="232" t="s">
        <v>632</v>
      </c>
      <c r="P32" s="232" t="s">
        <v>632</v>
      </c>
      <c r="Q32" s="232" t="s">
        <v>632</v>
      </c>
      <c r="R32" s="232" t="s">
        <v>632</v>
      </c>
      <c r="S32" s="232" t="s">
        <v>632</v>
      </c>
      <c r="U32" s="233" t="s">
        <v>413</v>
      </c>
      <c r="V32" s="233" t="str">
        <f>D17</f>
        <v>Safe water in or near house. Unprotected wells are unacceptable. Walking distance from water source &lt;3km
River water is okay for shower or other use, but not acceptable for drinking.</v>
      </c>
    </row>
    <row r="33" spans="2:24" ht="58.5" customHeight="1" x14ac:dyDescent="0.2">
      <c r="B33" s="96" t="s">
        <v>442</v>
      </c>
      <c r="C33" s="96" t="s">
        <v>433</v>
      </c>
      <c r="D33" s="96" t="s">
        <v>432</v>
      </c>
      <c r="E33" s="232" t="s">
        <v>632</v>
      </c>
      <c r="F33" s="232" t="s">
        <v>632</v>
      </c>
      <c r="G33" s="232" t="s">
        <v>632</v>
      </c>
      <c r="H33" s="232" t="s">
        <v>632</v>
      </c>
      <c r="I33" s="232" t="s">
        <v>632</v>
      </c>
      <c r="J33" s="232" t="s">
        <v>632</v>
      </c>
      <c r="K33" s="232" t="s">
        <v>632</v>
      </c>
      <c r="L33" s="232" t="s">
        <v>632</v>
      </c>
      <c r="M33" s="232" t="s">
        <v>632</v>
      </c>
      <c r="N33" s="232" t="s">
        <v>632</v>
      </c>
      <c r="O33" s="232" t="s">
        <v>632</v>
      </c>
      <c r="P33" s="371" t="s">
        <v>632</v>
      </c>
      <c r="Q33" s="232" t="s">
        <v>632</v>
      </c>
      <c r="R33" s="232" t="s">
        <v>632</v>
      </c>
      <c r="S33" s="232" t="s">
        <v>632</v>
      </c>
      <c r="U33" s="233" t="s">
        <v>413</v>
      </c>
      <c r="V33" s="233" t="str">
        <f>D18</f>
        <v xml:space="preserve">Cooking can be done outside the house, if indoors adequate ventilation required if kitchen is inside house (minimum of a window in the kitchen) </v>
      </c>
    </row>
    <row r="34" spans="2:24" ht="38.25" customHeight="1" x14ac:dyDescent="0.2">
      <c r="B34" s="96" t="s">
        <v>443</v>
      </c>
      <c r="C34" s="96" t="s">
        <v>433</v>
      </c>
      <c r="D34" s="96" t="s">
        <v>138</v>
      </c>
      <c r="E34" s="232" t="s">
        <v>632</v>
      </c>
      <c r="F34" s="232" t="s">
        <v>632</v>
      </c>
      <c r="G34" s="232" t="s">
        <v>632</v>
      </c>
      <c r="H34" s="232" t="s">
        <v>632</v>
      </c>
      <c r="I34" s="232" t="s">
        <v>632</v>
      </c>
      <c r="J34" s="232" t="s">
        <v>632</v>
      </c>
      <c r="K34" s="232" t="s">
        <v>632</v>
      </c>
      <c r="L34" s="232" t="s">
        <v>632</v>
      </c>
      <c r="M34" s="232" t="s">
        <v>632</v>
      </c>
      <c r="N34" s="232" t="s">
        <v>632</v>
      </c>
      <c r="O34" s="232" t="s">
        <v>632</v>
      </c>
      <c r="P34" s="232" t="s">
        <v>632</v>
      </c>
      <c r="Q34" s="232" t="s">
        <v>632</v>
      </c>
      <c r="R34" s="232" t="s">
        <v>632</v>
      </c>
      <c r="S34" s="232" t="s">
        <v>632</v>
      </c>
      <c r="U34" s="233" t="s">
        <v>413</v>
      </c>
      <c r="V34" s="233" t="str">
        <f>D19</f>
        <v>Grid may not be available. Access to electricity or alternative fuels to provide at least adequate lighting.</v>
      </c>
    </row>
    <row r="35" spans="2:24" x14ac:dyDescent="0.2">
      <c r="T35" s="75"/>
      <c r="U35" s="75"/>
      <c r="V35" s="75"/>
      <c r="W35" s="75"/>
      <c r="X35" s="75"/>
    </row>
    <row r="36" spans="2:24" x14ac:dyDescent="0.2">
      <c r="P36" s="362"/>
      <c r="T36" s="75"/>
      <c r="U36" s="75"/>
      <c r="V36" s="75"/>
      <c r="W36" s="75"/>
      <c r="X36" s="75"/>
    </row>
    <row r="37" spans="2:24" x14ac:dyDescent="0.2">
      <c r="T37" s="75"/>
      <c r="U37" s="75"/>
      <c r="V37" s="75"/>
      <c r="W37" s="75"/>
      <c r="X37" s="75"/>
    </row>
    <row r="38" spans="2:24" x14ac:dyDescent="0.2">
      <c r="T38" s="75"/>
      <c r="U38" s="75"/>
      <c r="V38" s="75"/>
      <c r="W38" s="75"/>
      <c r="X38" s="75"/>
    </row>
    <row r="39" spans="2:24" x14ac:dyDescent="0.2">
      <c r="T39" s="75"/>
      <c r="U39" s="75"/>
      <c r="V39" s="75"/>
      <c r="W39" s="75"/>
      <c r="X39" s="75"/>
    </row>
    <row r="40" spans="2:24" x14ac:dyDescent="0.2">
      <c r="T40" s="75"/>
      <c r="U40" s="75"/>
      <c r="V40" s="75"/>
      <c r="W40" s="75"/>
      <c r="X40" s="75"/>
    </row>
    <row r="41" spans="2:24" x14ac:dyDescent="0.2">
      <c r="T41" s="75"/>
      <c r="U41" s="75"/>
      <c r="V41" s="75"/>
      <c r="W41" s="75"/>
      <c r="X41" s="75"/>
    </row>
    <row r="42" spans="2:24" x14ac:dyDescent="0.2">
      <c r="T42" s="75"/>
      <c r="U42" s="75"/>
      <c r="V42" s="75"/>
      <c r="W42" s="75"/>
      <c r="X42" s="75"/>
    </row>
    <row r="43" spans="2:24" x14ac:dyDescent="0.2">
      <c r="T43" s="75"/>
      <c r="U43" s="75"/>
      <c r="V43" s="75"/>
      <c r="W43" s="75"/>
      <c r="X43" s="75"/>
    </row>
    <row r="44" spans="2:24" x14ac:dyDescent="0.2">
      <c r="T44" s="75"/>
      <c r="U44" s="75"/>
      <c r="V44" s="75"/>
      <c r="W44" s="75"/>
      <c r="X44" s="75"/>
    </row>
    <row r="45" spans="2:24" x14ac:dyDescent="0.2">
      <c r="B45" s="34"/>
      <c r="C45" s="34"/>
      <c r="D45" s="63"/>
      <c r="E45" s="234"/>
      <c r="F45" s="234"/>
      <c r="G45" s="234"/>
      <c r="H45" s="234"/>
      <c r="I45" s="235"/>
      <c r="J45" s="234"/>
      <c r="K45" s="234"/>
      <c r="L45" s="234"/>
      <c r="M45" s="234"/>
      <c r="N45" s="234"/>
      <c r="O45" s="234"/>
      <c r="P45" s="234"/>
      <c r="Q45" s="234"/>
      <c r="R45" s="234"/>
      <c r="S45" s="234"/>
      <c r="T45" s="234"/>
      <c r="U45" s="234"/>
      <c r="V45" s="234"/>
      <c r="W45" s="234"/>
      <c r="X45" s="234"/>
    </row>
    <row r="47" spans="2:24" x14ac:dyDescent="0.2">
      <c r="C47" s="34"/>
      <c r="D47" s="63"/>
    </row>
    <row r="48" spans="2:24" x14ac:dyDescent="0.2">
      <c r="B48" s="34"/>
      <c r="C48" s="34"/>
      <c r="D48" s="63"/>
      <c r="E48" s="234"/>
      <c r="F48" s="234"/>
      <c r="G48" s="234"/>
      <c r="H48" s="234"/>
      <c r="I48" s="235"/>
      <c r="J48" s="234"/>
      <c r="K48" s="234"/>
      <c r="L48" s="234"/>
      <c r="M48" s="234"/>
      <c r="N48" s="234"/>
      <c r="O48" s="234"/>
      <c r="P48" s="234"/>
      <c r="Q48" s="234"/>
      <c r="R48" s="234"/>
      <c r="S48" s="234"/>
    </row>
    <row r="49" spans="2:19" x14ac:dyDescent="0.2">
      <c r="B49" s="34"/>
      <c r="C49" s="34"/>
      <c r="D49" s="63"/>
      <c r="E49" s="234"/>
      <c r="F49" s="234"/>
      <c r="G49" s="234"/>
      <c r="H49" s="234"/>
      <c r="I49" s="235"/>
      <c r="J49" s="234"/>
      <c r="K49" s="234"/>
      <c r="L49" s="234"/>
      <c r="M49" s="234"/>
      <c r="N49" s="234"/>
      <c r="O49" s="234"/>
      <c r="P49" s="234"/>
      <c r="Q49" s="234"/>
      <c r="R49" s="234"/>
      <c r="S49" s="234"/>
    </row>
    <row r="50" spans="2:19" x14ac:dyDescent="0.2">
      <c r="B50" s="34"/>
      <c r="C50" s="34"/>
      <c r="D50" s="63"/>
      <c r="E50" s="234"/>
      <c r="F50" s="234"/>
      <c r="G50" s="234"/>
      <c r="H50" s="234"/>
      <c r="I50" s="235"/>
      <c r="J50" s="234"/>
      <c r="K50" s="234"/>
      <c r="L50" s="234"/>
      <c r="M50" s="234"/>
      <c r="N50" s="234"/>
      <c r="O50" s="234"/>
      <c r="P50" s="234"/>
      <c r="Q50" s="234"/>
      <c r="R50" s="234"/>
      <c r="S50" s="234"/>
    </row>
    <row r="51" spans="2:19" x14ac:dyDescent="0.2">
      <c r="B51" s="34"/>
      <c r="C51" s="34"/>
      <c r="D51" s="63"/>
      <c r="E51" s="234"/>
      <c r="F51" s="234"/>
      <c r="G51" s="234"/>
      <c r="H51" s="234"/>
      <c r="I51" s="235"/>
      <c r="J51" s="234"/>
      <c r="K51" s="234"/>
      <c r="L51" s="234"/>
      <c r="M51" s="234"/>
      <c r="N51" s="234"/>
      <c r="O51" s="234"/>
      <c r="P51" s="234"/>
      <c r="Q51" s="234"/>
      <c r="R51" s="234"/>
      <c r="S51" s="234"/>
    </row>
    <row r="52" spans="2:19" x14ac:dyDescent="0.2">
      <c r="B52" s="34"/>
      <c r="C52" s="34"/>
      <c r="D52" s="63"/>
      <c r="E52" s="234"/>
      <c r="F52" s="234"/>
      <c r="G52" s="234"/>
      <c r="H52" s="234"/>
      <c r="I52" s="235"/>
      <c r="J52" s="234"/>
      <c r="K52" s="234"/>
      <c r="L52" s="234"/>
      <c r="M52" s="234"/>
      <c r="N52" s="234"/>
      <c r="O52" s="234"/>
      <c r="P52" s="234"/>
      <c r="Q52" s="234"/>
      <c r="R52" s="234"/>
      <c r="S52" s="234"/>
    </row>
    <row r="53" spans="2:19" x14ac:dyDescent="0.2">
      <c r="B53" s="34"/>
      <c r="C53" s="34"/>
      <c r="D53" s="63"/>
      <c r="E53" s="234"/>
      <c r="F53" s="234"/>
      <c r="G53" s="234"/>
      <c r="H53" s="234"/>
      <c r="I53" s="235"/>
      <c r="J53" s="234"/>
      <c r="K53" s="234"/>
      <c r="L53" s="234"/>
      <c r="M53" s="234"/>
      <c r="N53" s="234"/>
      <c r="O53" s="234"/>
      <c r="P53" s="234"/>
      <c r="Q53" s="234"/>
      <c r="R53" s="234"/>
      <c r="S53" s="234"/>
    </row>
  </sheetData>
  <mergeCells count="28">
    <mergeCell ref="B7:S7"/>
    <mergeCell ref="D9:G9"/>
    <mergeCell ref="D10:G10"/>
    <mergeCell ref="D13:G13"/>
    <mergeCell ref="D12:G12"/>
    <mergeCell ref="D11:G11"/>
    <mergeCell ref="B9:C9"/>
    <mergeCell ref="B10:C10"/>
    <mergeCell ref="B11:C11"/>
    <mergeCell ref="B13:C13"/>
    <mergeCell ref="B12:C12"/>
    <mergeCell ref="I15:S15"/>
    <mergeCell ref="I16:S19"/>
    <mergeCell ref="B22:S22"/>
    <mergeCell ref="D15:G15"/>
    <mergeCell ref="D16:G16"/>
    <mergeCell ref="D17:G17"/>
    <mergeCell ref="D18:G18"/>
    <mergeCell ref="D19:G19"/>
    <mergeCell ref="B15:C15"/>
    <mergeCell ref="B16:C16"/>
    <mergeCell ref="B17:C17"/>
    <mergeCell ref="B27:D27"/>
    <mergeCell ref="U27:V27"/>
    <mergeCell ref="E25:S25"/>
    <mergeCell ref="B18:C18"/>
    <mergeCell ref="B19:C19"/>
    <mergeCell ref="B24:S24"/>
  </mergeCells>
  <dataValidations count="1">
    <dataValidation type="list" allowBlank="1" showInputMessage="1" showErrorMessage="1" sqref="E27:S34" xr:uid="{759E3399-B33F-4426-A8A0-0F5F9B081AD6}">
      <formula1>"Yes,No"</formula1>
    </dataValidation>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0CD3E-D1E3-4506-9A5F-9FBD8CA0803C}">
  <sheetPr>
    <tabColor theme="7"/>
  </sheetPr>
  <dimension ref="A2:X225"/>
  <sheetViews>
    <sheetView showGridLines="0" topLeftCell="A11" zoomScale="56" zoomScaleNormal="136" workbookViewId="0">
      <selection activeCell="E18" sqref="E18"/>
    </sheetView>
  </sheetViews>
  <sheetFormatPr baseColWidth="10" defaultColWidth="8.83203125" defaultRowHeight="15" x14ac:dyDescent="0.2"/>
  <cols>
    <col min="1" max="1" width="2.83203125" style="22" customWidth="1"/>
    <col min="2" max="2" width="2.1640625" style="22" customWidth="1"/>
    <col min="3" max="3" width="37" style="22" customWidth="1"/>
    <col min="4" max="4" width="26.1640625" style="22" customWidth="1"/>
    <col min="5" max="5" width="20.83203125" style="22" customWidth="1"/>
    <col min="6" max="6" width="17" style="22" customWidth="1"/>
    <col min="7" max="7" width="18.1640625" style="22" customWidth="1"/>
    <col min="8" max="8" width="13.5" style="22" customWidth="1"/>
    <col min="9" max="9" width="7.83203125" style="22" customWidth="1"/>
    <col min="10" max="10" width="4.1640625" style="22" customWidth="1"/>
    <col min="11" max="14" width="15" style="22" customWidth="1"/>
    <col min="15" max="17" width="14.5" style="22" customWidth="1"/>
    <col min="18" max="20" width="9.1640625" style="22" customWidth="1"/>
    <col min="21" max="16384" width="8.83203125" style="22"/>
  </cols>
  <sheetData>
    <row r="2" spans="2:24" ht="62" x14ac:dyDescent="0.7">
      <c r="B2" s="131" t="s">
        <v>287</v>
      </c>
      <c r="C2" s="132"/>
    </row>
    <row r="4" spans="2:24" ht="21" x14ac:dyDescent="0.25">
      <c r="B4" s="120" t="s">
        <v>288</v>
      </c>
      <c r="C4" s="121"/>
      <c r="D4" s="122"/>
      <c r="E4" s="122"/>
      <c r="F4" s="122"/>
      <c r="G4" s="122"/>
      <c r="H4" s="122"/>
      <c r="I4" s="122"/>
      <c r="J4" s="122"/>
      <c r="K4" s="122"/>
      <c r="L4" s="122"/>
      <c r="M4" s="122"/>
      <c r="N4" s="122"/>
      <c r="O4" s="122"/>
      <c r="P4" s="122"/>
      <c r="Q4" s="122"/>
      <c r="R4" s="122"/>
      <c r="S4" s="122"/>
      <c r="T4" s="122"/>
      <c r="U4" s="122"/>
      <c r="V4" s="122"/>
      <c r="W4" s="122"/>
      <c r="X4" s="122"/>
    </row>
    <row r="6" spans="2:24" ht="21" x14ac:dyDescent="0.25">
      <c r="B6" s="155" t="s">
        <v>52</v>
      </c>
      <c r="C6" s="155"/>
      <c r="D6" s="155"/>
      <c r="E6" s="155"/>
      <c r="F6" s="155"/>
    </row>
    <row r="7" spans="2:24" ht="30.75" customHeight="1" x14ac:dyDescent="0.2">
      <c r="B7" s="421" t="s">
        <v>485</v>
      </c>
      <c r="C7" s="421"/>
      <c r="D7" s="421"/>
      <c r="E7" s="421"/>
      <c r="F7" s="421"/>
    </row>
    <row r="9" spans="2:24" ht="16" thickBot="1" x14ac:dyDescent="0.25">
      <c r="C9" s="60"/>
      <c r="D9" s="134"/>
    </row>
    <row r="10" spans="2:24" ht="44.25" customHeight="1" x14ac:dyDescent="0.2">
      <c r="B10" s="135"/>
      <c r="C10" s="136" t="s">
        <v>298</v>
      </c>
      <c r="D10" s="137"/>
      <c r="E10" s="137"/>
      <c r="F10" s="137"/>
      <c r="G10" s="137"/>
      <c r="H10" s="138"/>
    </row>
    <row r="11" spans="2:24" x14ac:dyDescent="0.2">
      <c r="B11" s="139"/>
      <c r="H11" s="140"/>
    </row>
    <row r="12" spans="2:24" x14ac:dyDescent="0.2">
      <c r="B12" s="139"/>
      <c r="C12" s="60" t="s">
        <v>247</v>
      </c>
      <c r="H12" s="211"/>
    </row>
    <row r="13" spans="2:24" ht="16" thickBot="1" x14ac:dyDescent="0.25">
      <c r="B13" s="139"/>
      <c r="C13" s="60"/>
      <c r="E13" s="53" t="s">
        <v>264</v>
      </c>
      <c r="F13" s="53"/>
      <c r="G13" s="53" t="s">
        <v>245</v>
      </c>
      <c r="H13" s="211"/>
    </row>
    <row r="14" spans="2:24" ht="16" thickBot="1" x14ac:dyDescent="0.25">
      <c r="B14" s="139"/>
      <c r="C14" s="212" t="s">
        <v>210</v>
      </c>
      <c r="D14" s="104"/>
      <c r="E14" s="213">
        <f>IFERROR(SUMPRODUCT('Background calculations'!D134:D136,'3. Food costs'!E25:E27),"")-(D95*E27)</f>
        <v>648047.93871518131</v>
      </c>
      <c r="F14" s="214"/>
      <c r="G14" s="215">
        <f>IFERROR(E14/'OUTPUT_Living wage'!E10,"")</f>
        <v>176.33957516059357</v>
      </c>
      <c r="H14" s="211"/>
    </row>
    <row r="15" spans="2:24" x14ac:dyDescent="0.2">
      <c r="B15" s="139"/>
      <c r="F15" s="53"/>
      <c r="H15" s="211"/>
    </row>
    <row r="16" spans="2:24" x14ac:dyDescent="0.2">
      <c r="B16" s="139"/>
      <c r="F16" s="53"/>
      <c r="H16" s="211"/>
    </row>
    <row r="17" spans="2:17" ht="14.5" customHeight="1" x14ac:dyDescent="0.2">
      <c r="B17" s="139"/>
      <c r="C17" s="185" t="s">
        <v>297</v>
      </c>
      <c r="E17" s="22" t="s">
        <v>399</v>
      </c>
      <c r="F17" s="53"/>
      <c r="G17" s="22" t="s">
        <v>248</v>
      </c>
      <c r="H17" s="211"/>
    </row>
    <row r="18" spans="2:17" ht="15" customHeight="1" x14ac:dyDescent="0.2">
      <c r="B18" s="139"/>
      <c r="C18" s="22" t="s">
        <v>200</v>
      </c>
      <c r="E18" s="216">
        <f>'3. Food costs'!D75</f>
        <v>6414.5633343282552</v>
      </c>
      <c r="F18" s="53"/>
      <c r="G18" s="217">
        <f>IFERROR(E18/'OUTPUT_Living wage'!$E$10,"")</f>
        <v>1.745459410701566</v>
      </c>
      <c r="H18" s="211"/>
    </row>
    <row r="19" spans="2:17" ht="15" customHeight="1" x14ac:dyDescent="0.2">
      <c r="B19" s="139"/>
      <c r="H19" s="140"/>
    </row>
    <row r="20" spans="2:17" ht="15" customHeight="1" x14ac:dyDescent="0.2">
      <c r="B20" s="139"/>
      <c r="E20" s="22" t="s">
        <v>400</v>
      </c>
      <c r="G20" s="22" t="s">
        <v>249</v>
      </c>
      <c r="H20" s="140"/>
    </row>
    <row r="21" spans="2:17" ht="15" customHeight="1" x14ac:dyDescent="0.2">
      <c r="B21" s="139"/>
      <c r="C21" s="22" t="s">
        <v>199</v>
      </c>
      <c r="E21" s="216">
        <f>E18*30.43</f>
        <v>195195.1622636088</v>
      </c>
      <c r="F21" s="53"/>
      <c r="G21" s="217">
        <f>IFERROR(E21/'OUTPUT_Living wage'!$E$10,"")</f>
        <v>53.114329867648649</v>
      </c>
      <c r="H21" s="211"/>
    </row>
    <row r="22" spans="2:17" ht="15" customHeight="1" x14ac:dyDescent="0.2">
      <c r="B22" s="139"/>
      <c r="F22" s="53"/>
      <c r="H22" s="211"/>
    </row>
    <row r="23" spans="2:17" x14ac:dyDescent="0.2">
      <c r="B23" s="139"/>
      <c r="C23" s="60" t="s">
        <v>314</v>
      </c>
      <c r="D23" s="34"/>
      <c r="E23" s="218"/>
      <c r="F23" s="53"/>
      <c r="G23" s="218"/>
      <c r="H23" s="211"/>
    </row>
    <row r="24" spans="2:17" x14ac:dyDescent="0.2">
      <c r="B24" s="139"/>
      <c r="D24" s="219" t="s">
        <v>501</v>
      </c>
      <c r="E24" s="22" t="str">
        <f>'OUTPUT_Living wage'!E15</f>
        <v>Personalized</v>
      </c>
      <c r="H24" s="211"/>
    </row>
    <row r="25" spans="2:17" x14ac:dyDescent="0.2">
      <c r="B25" s="139"/>
      <c r="C25" s="22" t="s">
        <v>207</v>
      </c>
      <c r="D25" s="34" t="s">
        <v>315</v>
      </c>
      <c r="E25" s="220">
        <f>'Background calculations'!G10</f>
        <v>1</v>
      </c>
      <c r="F25" s="53"/>
      <c r="G25" s="220">
        <f>E25</f>
        <v>1</v>
      </c>
      <c r="H25" s="211"/>
    </row>
    <row r="26" spans="2:17" x14ac:dyDescent="0.2">
      <c r="B26" s="139"/>
      <c r="C26" s="22" t="s">
        <v>208</v>
      </c>
      <c r="D26" s="34" t="s">
        <v>315</v>
      </c>
      <c r="E26" s="220">
        <f>'Background calculations'!G11</f>
        <v>1</v>
      </c>
      <c r="F26" s="53"/>
      <c r="G26" s="220">
        <f>E26</f>
        <v>1</v>
      </c>
      <c r="H26" s="211"/>
    </row>
    <row r="27" spans="2:17" x14ac:dyDescent="0.2">
      <c r="B27" s="139"/>
      <c r="C27" s="22" t="s">
        <v>31</v>
      </c>
      <c r="D27" s="34" t="s">
        <v>315</v>
      </c>
      <c r="E27" s="323">
        <f>'Background calculations'!G12</f>
        <v>2</v>
      </c>
      <c r="F27" s="53"/>
      <c r="G27" s="323">
        <f>E27</f>
        <v>2</v>
      </c>
      <c r="H27" s="211"/>
    </row>
    <row r="28" spans="2:17" ht="16" thickBot="1" x14ac:dyDescent="0.25">
      <c r="B28" s="142"/>
      <c r="C28" s="143"/>
      <c r="D28" s="143"/>
      <c r="E28" s="143"/>
      <c r="F28" s="143"/>
      <c r="G28" s="143"/>
      <c r="H28" s="145"/>
    </row>
    <row r="30" spans="2:17" ht="16" thickBot="1" x14ac:dyDescent="0.25"/>
    <row r="31" spans="2:17" ht="24" x14ac:dyDescent="0.3">
      <c r="B31" s="135"/>
      <c r="C31" s="157" t="s">
        <v>460</v>
      </c>
      <c r="D31" s="158"/>
      <c r="E31" s="137"/>
      <c r="F31" s="138"/>
      <c r="H31" s="155" t="s">
        <v>52</v>
      </c>
    </row>
    <row r="32" spans="2:17" ht="15" customHeight="1" x14ac:dyDescent="0.3">
      <c r="B32" s="139"/>
      <c r="C32" s="183"/>
      <c r="D32" s="184"/>
      <c r="F32" s="140"/>
      <c r="H32" s="417" t="s">
        <v>538</v>
      </c>
      <c r="I32" s="417"/>
      <c r="J32" s="417"/>
      <c r="K32" s="417"/>
      <c r="L32" s="417"/>
      <c r="M32" s="417"/>
      <c r="N32" s="417"/>
      <c r="O32" s="417"/>
      <c r="P32" s="417"/>
      <c r="Q32" s="417"/>
    </row>
    <row r="33" spans="2:17" ht="18" customHeight="1" x14ac:dyDescent="0.2">
      <c r="B33" s="139"/>
      <c r="D33" s="88" t="s">
        <v>195</v>
      </c>
      <c r="E33" s="88" t="s">
        <v>11</v>
      </c>
      <c r="F33" s="140"/>
      <c r="H33" s="417"/>
      <c r="I33" s="417"/>
      <c r="J33" s="417"/>
      <c r="K33" s="417"/>
      <c r="L33" s="417"/>
      <c r="M33" s="417"/>
      <c r="N33" s="417"/>
      <c r="O33" s="417"/>
      <c r="P33" s="417"/>
      <c r="Q33" s="417"/>
    </row>
    <row r="34" spans="2:17" ht="18" customHeight="1" x14ac:dyDescent="0.2">
      <c r="B34" s="139"/>
      <c r="D34" s="50"/>
      <c r="E34" s="50"/>
      <c r="F34" s="140"/>
      <c r="H34" s="417"/>
      <c r="I34" s="417"/>
      <c r="J34" s="417"/>
      <c r="K34" s="417"/>
      <c r="L34" s="417"/>
      <c r="M34" s="417"/>
      <c r="N34" s="417"/>
      <c r="O34" s="417"/>
      <c r="P34" s="417"/>
      <c r="Q34" s="417"/>
    </row>
    <row r="35" spans="2:17" ht="30.75" customHeight="1" x14ac:dyDescent="0.2">
      <c r="B35" s="139"/>
      <c r="C35" s="185" t="s">
        <v>193</v>
      </c>
      <c r="D35" s="186">
        <f>'Nutritional input'!E16</f>
        <v>2767.1366120000007</v>
      </c>
      <c r="E35" s="187">
        <f>SUM('Background calculations'!AC216:AC234)</f>
        <v>2767.9707463670707</v>
      </c>
      <c r="F35" s="140"/>
      <c r="H35" s="417"/>
      <c r="I35" s="417"/>
      <c r="J35" s="417"/>
      <c r="K35" s="417"/>
      <c r="L35" s="417"/>
      <c r="M35" s="417"/>
      <c r="N35" s="417"/>
      <c r="O35" s="417"/>
      <c r="P35" s="417"/>
      <c r="Q35" s="417"/>
    </row>
    <row r="36" spans="2:17" x14ac:dyDescent="0.2">
      <c r="B36" s="139"/>
      <c r="D36" s="221"/>
      <c r="E36" s="53"/>
      <c r="F36" s="140"/>
      <c r="H36" s="417"/>
      <c r="I36" s="417"/>
      <c r="J36" s="417"/>
      <c r="K36" s="417"/>
      <c r="L36" s="417"/>
      <c r="M36" s="417"/>
      <c r="N36" s="417"/>
      <c r="O36" s="417"/>
      <c r="P36" s="417"/>
      <c r="Q36" s="417"/>
    </row>
    <row r="37" spans="2:17" x14ac:dyDescent="0.2">
      <c r="B37" s="139"/>
      <c r="C37" s="188" t="s">
        <v>211</v>
      </c>
      <c r="D37" s="222" t="s">
        <v>196</v>
      </c>
      <c r="E37" s="223">
        <f>'Background calculations'!D243</f>
        <v>0.60567382189625896</v>
      </c>
      <c r="F37" s="140"/>
    </row>
    <row r="38" spans="2:17" x14ac:dyDescent="0.2">
      <c r="B38" s="139"/>
      <c r="C38" s="188" t="s">
        <v>194</v>
      </c>
      <c r="D38" s="222" t="s">
        <v>197</v>
      </c>
      <c r="E38" s="223">
        <f>'Background calculations'!F243</f>
        <v>0.28878968202122285</v>
      </c>
      <c r="F38" s="140"/>
    </row>
    <row r="39" spans="2:17" x14ac:dyDescent="0.2">
      <c r="B39" s="139"/>
      <c r="C39" s="188" t="s">
        <v>580</v>
      </c>
      <c r="D39" s="222"/>
      <c r="E39" s="223">
        <f>'Background calculations'!E243</f>
        <v>0.10553649608251853</v>
      </c>
      <c r="F39" s="140"/>
    </row>
    <row r="40" spans="2:17" x14ac:dyDescent="0.2">
      <c r="B40" s="139"/>
      <c r="C40" s="188"/>
      <c r="D40" s="188"/>
      <c r="E40" s="188"/>
      <c r="F40" s="140"/>
    </row>
    <row r="41" spans="2:17" x14ac:dyDescent="0.2">
      <c r="B41" s="139"/>
      <c r="C41" s="188" t="s">
        <v>579</v>
      </c>
      <c r="D41" s="222" t="s">
        <v>558</v>
      </c>
      <c r="E41" s="223">
        <f>IFERROR(('Background calculations'!AC220+'Background calculations'!AC221+'Background calculations'!AC224+ 'Background calculations'!AC225)  / E35,"")</f>
        <v>0.1997925776103012</v>
      </c>
      <c r="F41" s="140"/>
    </row>
    <row r="42" spans="2:17" x14ac:dyDescent="0.2">
      <c r="B42" s="139"/>
      <c r="C42" s="190" t="s">
        <v>202</v>
      </c>
      <c r="F42" s="140"/>
    </row>
    <row r="43" spans="2:17" ht="16" thickBot="1" x14ac:dyDescent="0.25">
      <c r="B43" s="142"/>
      <c r="C43" s="191"/>
      <c r="D43" s="192"/>
      <c r="E43" s="143"/>
      <c r="F43" s="145"/>
    </row>
    <row r="45" spans="2:17" ht="16" thickBot="1" x14ac:dyDescent="0.25"/>
    <row r="46" spans="2:17" ht="24" x14ac:dyDescent="0.3">
      <c r="B46" s="135"/>
      <c r="C46" s="157" t="s">
        <v>301</v>
      </c>
      <c r="D46" s="157"/>
      <c r="E46" s="157"/>
      <c r="F46" s="158"/>
      <c r="G46" s="138"/>
    </row>
    <row r="47" spans="2:17" x14ac:dyDescent="0.2">
      <c r="B47" s="139"/>
      <c r="G47" s="140"/>
    </row>
    <row r="48" spans="2:17" ht="44.25" customHeight="1" x14ac:dyDescent="0.2">
      <c r="B48" s="139"/>
      <c r="C48" s="148" t="s">
        <v>101</v>
      </c>
      <c r="D48" s="224" t="s">
        <v>610</v>
      </c>
      <c r="E48" s="224" t="s">
        <v>611</v>
      </c>
      <c r="F48" s="224" t="s">
        <v>456</v>
      </c>
      <c r="G48" s="140"/>
    </row>
    <row r="49" spans="2:9" ht="15" customHeight="1" x14ac:dyDescent="0.2">
      <c r="B49" s="139"/>
      <c r="C49" s="22" t="str">
        <f>'Nutritional input'!D112</f>
        <v>Rice 2</v>
      </c>
      <c r="D49" s="51">
        <f>'Background calculations'!AB216</f>
        <v>289.86130753986498</v>
      </c>
      <c r="E49" s="51">
        <f>D49/_xlfn.XLOOKUP(C49,Table2[Item],Table2[Edible portion])</f>
        <v>289.86130753986498</v>
      </c>
      <c r="F49" s="225">
        <f>_xlfn.XLOOKUP('3. Food costs'!C49,'Food costs - Input data'!C11:C59,'Food costs - Input data'!AE11:AE59,0) / 1000 * '3. Food costs'!E49</f>
        <v>1159.4452301594599</v>
      </c>
      <c r="G49" s="140"/>
    </row>
    <row r="50" spans="2:9" ht="15" customHeight="1" x14ac:dyDescent="0.2">
      <c r="B50" s="139"/>
      <c r="C50" s="22" t="str">
        <f>'Nutritional input'!D113</f>
        <v>Bread</v>
      </c>
      <c r="D50" s="51">
        <f>'Background calculations'!AB217</f>
        <v>68.199850879903366</v>
      </c>
      <c r="E50" s="51">
        <f>D50/_xlfn.XLOOKUP(C50,Table2[Item],Table2[Edible portion])</f>
        <v>68.199850879903366</v>
      </c>
      <c r="F50" s="225">
        <f>_xlfn.XLOOKUP('3. Food costs'!C50,'Food costs - Input data'!C12:C60,'Food costs - Input data'!AE12:AE60,0) / 1000 * '3. Food costs'!E50</f>
        <v>375.09917983946849</v>
      </c>
      <c r="G50" s="140"/>
    </row>
    <row r="51" spans="2:9" ht="15" customHeight="1" x14ac:dyDescent="0.2">
      <c r="B51" s="139"/>
      <c r="C51" s="22" t="str">
        <f>'Nutritional input'!D114</f>
        <v>Cassava</v>
      </c>
      <c r="D51" s="51">
        <f>'Background calculations'!AB218</f>
        <v>236.12455030126978</v>
      </c>
      <c r="E51" s="51">
        <f>D51/_xlfn.XLOOKUP(C51,Table2[Item],Table2[Edible portion])</f>
        <v>295.15568787658719</v>
      </c>
      <c r="F51" s="225">
        <f>_xlfn.XLOOKUP('3. Food costs'!C51,'Food costs - Input data'!C13:C61,'Food costs - Input data'!AE13:AE61,0) / 1000 * '3. Food costs'!E51</f>
        <v>590.31137575317439</v>
      </c>
      <c r="G51" s="140"/>
      <c r="I51" s="329"/>
    </row>
    <row r="52" spans="2:9" ht="15" customHeight="1" x14ac:dyDescent="0.2">
      <c r="B52" s="139"/>
      <c r="C52" s="22" t="str">
        <f>'Nutritional input'!D115</f>
        <v>Matooke</v>
      </c>
      <c r="D52" s="51">
        <f>'Background calculations'!AB219</f>
        <v>160</v>
      </c>
      <c r="E52" s="51">
        <f>D52/_xlfn.XLOOKUP(C52,Table2[Item],Table2[Edible portion])</f>
        <v>200</v>
      </c>
      <c r="F52" s="225">
        <f>_xlfn.XLOOKUP('3. Food costs'!C52,'Food costs - Input data'!C14:C62,'Food costs - Input data'!AE14:AE62,0) / 1000 * '3. Food costs'!E52</f>
        <v>160</v>
      </c>
      <c r="G52" s="140"/>
      <c r="I52" s="329"/>
    </row>
    <row r="53" spans="2:9" ht="15" customHeight="1" x14ac:dyDescent="0.2">
      <c r="B53" s="139"/>
      <c r="C53" s="22" t="str">
        <f>'Nutritional input'!D116</f>
        <v>Groundnuts</v>
      </c>
      <c r="D53" s="51">
        <f>'Background calculations'!AB220</f>
        <v>41.463411280024395</v>
      </c>
      <c r="E53" s="51">
        <f>D53/_xlfn.XLOOKUP(C53,Table2[Item],Table2[Edible portion])</f>
        <v>51.829264100030493</v>
      </c>
      <c r="F53" s="225">
        <f>_xlfn.XLOOKUP('3. Food costs'!C53,'Food costs - Input data'!C15:C63,'Food costs - Input data'!AE15:AE63,0) / 1000 * '3. Food costs'!E53</f>
        <v>285.06095255016771</v>
      </c>
      <c r="G53" s="140"/>
      <c r="I53" s="329"/>
    </row>
    <row r="54" spans="2:9" ht="15" customHeight="1" x14ac:dyDescent="0.2">
      <c r="B54" s="139"/>
      <c r="C54" s="22" t="str">
        <f>'Nutritional input'!D117</f>
        <v>Groundnuts</v>
      </c>
      <c r="D54" s="51">
        <f>'Background calculations'!AB221</f>
        <v>41.463411280024395</v>
      </c>
      <c r="E54" s="51">
        <f>D54/_xlfn.XLOOKUP(C54,Table2[Item],Table2[Edible portion])</f>
        <v>51.829264100030493</v>
      </c>
      <c r="F54" s="225">
        <f>_xlfn.XLOOKUP('3. Food costs'!C54,'Food costs - Input data'!C16:C64,'Food costs - Input data'!AE16:AE64,0) / 1000 * '3. Food costs'!E54</f>
        <v>285.06095255016771</v>
      </c>
      <c r="G54" s="140"/>
      <c r="I54" s="329"/>
    </row>
    <row r="55" spans="2:9" ht="15" customHeight="1" x14ac:dyDescent="0.2">
      <c r="B55" s="139"/>
      <c r="C55" s="22" t="str">
        <f>'Nutritional input'!D118</f>
        <v>Youghurt</v>
      </c>
      <c r="D55" s="51">
        <f>'Background calculations'!AB222</f>
        <v>60</v>
      </c>
      <c r="E55" s="51">
        <f>D55/_xlfn.XLOOKUP(C55,Table2[Item],Table2[Edible portion])</f>
        <v>66.666666666666671</v>
      </c>
      <c r="F55" s="225">
        <f>_xlfn.XLOOKUP('3. Food costs'!C55,'Food costs - Input data'!C17:C65,'Food costs - Input data'!AE17:AE65,0) / 1000 * '3. Food costs'!E55</f>
        <v>100</v>
      </c>
      <c r="G55" s="140"/>
      <c r="I55" s="329"/>
    </row>
    <row r="56" spans="2:9" ht="15" customHeight="1" x14ac:dyDescent="0.2">
      <c r="B56" s="139"/>
      <c r="C56" s="22" t="str">
        <f>'Nutritional input'!D119</f>
        <v>Eggs</v>
      </c>
      <c r="D56" s="51">
        <f>'Background calculations'!AB223</f>
        <v>28.883062547016085</v>
      </c>
      <c r="E56" s="51">
        <f>D56/_xlfn.XLOOKUP(C56,Table2[Item],Table2[Edible portion])</f>
        <v>32.092291718906758</v>
      </c>
      <c r="F56" s="225">
        <f>_xlfn.XLOOKUP('3. Food costs'!C56,'Food costs - Input data'!C18:C66,'Food costs - Input data'!AE18:AE66,0) / 1000 * '3. Food costs'!E56</f>
        <v>385.10750062688112</v>
      </c>
      <c r="G56" s="140"/>
      <c r="I56" s="329"/>
    </row>
    <row r="57" spans="2:9" ht="15" customHeight="1" x14ac:dyDescent="0.2">
      <c r="B57" s="139"/>
      <c r="C57" s="22" t="str">
        <f>'Nutritional input'!D120</f>
        <v>beef</v>
      </c>
      <c r="D57" s="51">
        <f>'Background calculations'!AB224</f>
        <v>14.791081698765039</v>
      </c>
      <c r="E57" s="51">
        <f>D57/_xlfn.XLOOKUP(C57,Table2[Item],Table2[Edible portion])</f>
        <v>24.651802831275067</v>
      </c>
      <c r="F57" s="225">
        <f>_xlfn.XLOOKUP('3. Food costs'!C57,'Food costs - Input data'!C19:C67,'Food costs - Input data'!AE19:AE67,0) / 1000 * '3. Food costs'!E57</f>
        <v>468.38425379422625</v>
      </c>
      <c r="G57" s="140"/>
      <c r="I57" s="329"/>
    </row>
    <row r="58" spans="2:9" ht="15" customHeight="1" x14ac:dyDescent="0.2">
      <c r="B58" s="139"/>
      <c r="C58" s="22" t="str">
        <f>'Nutritional input'!D121</f>
        <v>Ngege Fresh</v>
      </c>
      <c r="D58" s="51">
        <f>'Background calculations'!AB225</f>
        <v>12</v>
      </c>
      <c r="E58" s="51">
        <f>D58/_xlfn.XLOOKUP(C58,Table2[Item],Table2[Edible portion])</f>
        <v>20</v>
      </c>
      <c r="F58" s="225">
        <f>_xlfn.XLOOKUP('3. Food costs'!C58,'Food costs - Input data'!C20:C68,'Food costs - Input data'!AE20:AE68,0) / 1000 * '3. Food costs'!E58</f>
        <v>200</v>
      </c>
      <c r="G58" s="140"/>
      <c r="I58" s="329"/>
    </row>
    <row r="59" spans="2:9" ht="15" customHeight="1" x14ac:dyDescent="0.2">
      <c r="B59" s="139"/>
      <c r="C59" s="22" t="str">
        <f>'Nutritional input'!D122</f>
        <v>Sukuma</v>
      </c>
      <c r="D59" s="51">
        <f>'Background calculations'!AB226</f>
        <v>100</v>
      </c>
      <c r="E59" s="51">
        <f>D59/_xlfn.XLOOKUP(C59,Table2[Item],Table2[Edible portion])</f>
        <v>100</v>
      </c>
      <c r="F59" s="225">
        <f>_xlfn.XLOOKUP('3. Food costs'!C59,'Food costs - Input data'!C21:C69,'Food costs - Input data'!AE21:AE69,0) / 1000 * '3. Food costs'!E59</f>
        <v>100</v>
      </c>
      <c r="G59" s="140"/>
      <c r="I59" s="329"/>
    </row>
    <row r="60" spans="2:9" ht="15" customHeight="1" x14ac:dyDescent="0.2">
      <c r="B60" s="139"/>
      <c r="C60" s="22" t="str">
        <f>'Nutritional input'!D123</f>
        <v>Doodo</v>
      </c>
      <c r="D60" s="51">
        <f>'Background calculations'!AB227</f>
        <v>60</v>
      </c>
      <c r="E60" s="51">
        <f>D60/_xlfn.XLOOKUP(C60,Table2[Item],Table2[Edible portion])</f>
        <v>60</v>
      </c>
      <c r="F60" s="225">
        <f>_xlfn.XLOOKUP('3. Food costs'!C60,'Food costs - Input data'!C22:C70,'Food costs - Input data'!AE22:AE70,0) / 1000 * '3. Food costs'!E60</f>
        <v>60</v>
      </c>
      <c r="G60" s="140"/>
      <c r="I60" s="329"/>
    </row>
    <row r="61" spans="2:9" ht="15" customHeight="1" x14ac:dyDescent="0.2">
      <c r="B61" s="139"/>
      <c r="C61" s="22" t="str">
        <f>'Nutritional input'!D124</f>
        <v>Spring Onions</v>
      </c>
      <c r="D61" s="51">
        <f>'Background calculations'!AB228</f>
        <v>60</v>
      </c>
      <c r="E61" s="51">
        <f>D61/_xlfn.XLOOKUP(C61,Table2[Item],Table2[Edible portion])</f>
        <v>60</v>
      </c>
      <c r="F61" s="225">
        <f>_xlfn.XLOOKUP('3. Food costs'!C61,'Food costs - Input data'!C23:C71,'Food costs - Input data'!AE23:AE71,0) / 1000 * '3. Food costs'!E61</f>
        <v>60</v>
      </c>
      <c r="G61" s="140"/>
    </row>
    <row r="62" spans="2:9" ht="15" customHeight="1" x14ac:dyDescent="0.2">
      <c r="B62" s="139"/>
      <c r="C62" s="22" t="str">
        <f>'Nutritional input'!D125</f>
        <v>Bbuga</v>
      </c>
      <c r="D62" s="51">
        <f>'Background calculations'!AB229</f>
        <v>60</v>
      </c>
      <c r="E62" s="51">
        <f>D62/_xlfn.XLOOKUP(C62,Table2[Item],Table2[Edible portion])</f>
        <v>60</v>
      </c>
      <c r="F62" s="225">
        <f>_xlfn.XLOOKUP('3. Food costs'!C62,'Food costs - Input data'!C24:C72,'Food costs - Input data'!AE24:AE72,0) / 1000 * '3. Food costs'!E62</f>
        <v>60</v>
      </c>
      <c r="G62" s="140"/>
    </row>
    <row r="63" spans="2:9" ht="15" customHeight="1" x14ac:dyDescent="0.2">
      <c r="B63" s="139"/>
      <c r="C63" s="22" t="str">
        <f>'Nutritional input'!D126</f>
        <v>Pine Apple</v>
      </c>
      <c r="D63" s="51">
        <f>'Background calculations'!AB230</f>
        <v>60</v>
      </c>
      <c r="E63" s="51">
        <f>D63/_xlfn.XLOOKUP(C63,Table2[Item],Table2[Edible portion])</f>
        <v>75</v>
      </c>
      <c r="F63" s="225">
        <f>_xlfn.XLOOKUP('3. Food costs'!C63,'Food costs - Input data'!C25:C73,'Food costs - Input data'!AE25:AE73,0) / 1000 * '3. Food costs'!E63</f>
        <v>300</v>
      </c>
      <c r="G63" s="140"/>
    </row>
    <row r="64" spans="2:9" ht="15" customHeight="1" x14ac:dyDescent="0.2">
      <c r="B64" s="139"/>
      <c r="C64" s="22" t="str">
        <f>'Nutritional input'!D127</f>
        <v>Pine Apple</v>
      </c>
      <c r="D64" s="51">
        <f>'Background calculations'!AB231</f>
        <v>60</v>
      </c>
      <c r="E64" s="51">
        <f>D64/_xlfn.XLOOKUP(C64,Table2[Item],Table2[Edible portion])</f>
        <v>75</v>
      </c>
      <c r="F64" s="225">
        <f>_xlfn.XLOOKUP('3. Food costs'!C64,'Food costs - Input data'!C26:C74,'Food costs - Input data'!AE26:AE74,0) / 1000 * '3. Food costs'!E64</f>
        <v>300</v>
      </c>
      <c r="G64" s="140"/>
    </row>
    <row r="65" spans="2:7" ht="15" customHeight="1" x14ac:dyDescent="0.2">
      <c r="B65" s="139"/>
      <c r="C65" s="22" t="str">
        <f>'Nutritional input'!D128</f>
        <v>Cooking Oil</v>
      </c>
      <c r="D65" s="51">
        <f>'Background calculations'!AB232</f>
        <v>34</v>
      </c>
      <c r="E65" s="51">
        <f>D65/_xlfn.XLOOKUP(C65,Table2[Item],Table2[Edible portion])</f>
        <v>42.5</v>
      </c>
      <c r="F65" s="225">
        <f>_xlfn.XLOOKUP('3. Food costs'!C65,'Food costs - Input data'!C27:C75,'Food costs - Input data'!AE27:AE75,0) / 1000 * '3. Food costs'!E65</f>
        <v>425</v>
      </c>
      <c r="G65" s="140"/>
    </row>
    <row r="66" spans="2:7" ht="15" customHeight="1" x14ac:dyDescent="0.2">
      <c r="B66" s="139"/>
      <c r="C66" s="22" t="str">
        <f>'Nutritional input'!D129</f>
        <v>soda</v>
      </c>
      <c r="D66" s="51">
        <f>'Background calculations'!AB233</f>
        <v>2</v>
      </c>
      <c r="E66" s="51">
        <f>D66/_xlfn.XLOOKUP(C66,Table2[Item],Table2[Edible portion])</f>
        <v>2</v>
      </c>
      <c r="F66" s="225">
        <f>_xlfn.XLOOKUP('3. Food costs'!C66,'Food costs - Input data'!C28:C76,'Food costs - Input data'!AE28:AE76,0) / 1000 * '3. Food costs'!E66</f>
        <v>2</v>
      </c>
      <c r="G66" s="140"/>
    </row>
    <row r="67" spans="2:7" ht="15" customHeight="1" x14ac:dyDescent="0.2">
      <c r="B67" s="139"/>
      <c r="C67" s="22" t="str">
        <f>'Nutritional input'!D130</f>
        <v>Non Alcoholic Kombucha</v>
      </c>
      <c r="D67" s="51">
        <f>'Background calculations'!AB234</f>
        <v>30</v>
      </c>
      <c r="E67" s="51">
        <f>D67/_xlfn.XLOOKUP(C67,Table2[Item],Table2[Edible portion])</f>
        <v>30</v>
      </c>
      <c r="F67" s="225">
        <f>_xlfn.XLOOKUP('3. Food costs'!C67,'Food costs - Input data'!C29:C77,'Food costs - Input data'!AE29:AE77,0) / 1000 * '3. Food costs'!E67</f>
        <v>30</v>
      </c>
      <c r="G67" s="140"/>
    </row>
    <row r="68" spans="2:7" ht="15" customHeight="1" x14ac:dyDescent="0.2">
      <c r="B68" s="139"/>
      <c r="C68" s="60" t="s">
        <v>414</v>
      </c>
      <c r="D68" s="53"/>
      <c r="E68" s="53"/>
      <c r="F68" s="226">
        <f>SUM(F49:F67)</f>
        <v>5345.4694452735457</v>
      </c>
      <c r="G68" s="140"/>
    </row>
    <row r="69" spans="2:7" x14ac:dyDescent="0.2">
      <c r="B69" s="139"/>
      <c r="G69" s="140"/>
    </row>
    <row r="70" spans="2:7" x14ac:dyDescent="0.2">
      <c r="B70" s="139"/>
      <c r="C70" s="60" t="s">
        <v>214</v>
      </c>
      <c r="D70" s="50" t="s">
        <v>345</v>
      </c>
      <c r="E70" s="50"/>
      <c r="G70" s="140"/>
    </row>
    <row r="71" spans="2:7" x14ac:dyDescent="0.2">
      <c r="B71" s="139"/>
      <c r="C71" s="22" t="s">
        <v>215</v>
      </c>
      <c r="D71" s="227">
        <v>0.02</v>
      </c>
      <c r="G71" s="140"/>
    </row>
    <row r="72" spans="2:7" x14ac:dyDescent="0.2">
      <c r="B72" s="139"/>
      <c r="C72" s="22" t="s">
        <v>216</v>
      </c>
      <c r="D72" s="227">
        <v>0.03</v>
      </c>
      <c r="G72" s="140"/>
    </row>
    <row r="73" spans="2:7" x14ac:dyDescent="0.2">
      <c r="B73" s="139"/>
      <c r="C73" s="22" t="s">
        <v>217</v>
      </c>
      <c r="D73" s="227">
        <v>0.15</v>
      </c>
      <c r="G73" s="140"/>
    </row>
    <row r="74" spans="2:7" x14ac:dyDescent="0.2">
      <c r="B74" s="139"/>
      <c r="G74" s="140"/>
    </row>
    <row r="75" spans="2:7" x14ac:dyDescent="0.2">
      <c r="B75" s="139"/>
      <c r="C75" s="60" t="s">
        <v>457</v>
      </c>
      <c r="D75" s="226">
        <f>'3. Food costs'!F68+('3. Food costs'!F68*SUM('3. Food costs'!D71:D73))</f>
        <v>6414.5633343282552</v>
      </c>
      <c r="G75" s="140"/>
    </row>
    <row r="76" spans="2:7" ht="16" thickBot="1" x14ac:dyDescent="0.25">
      <c r="B76" s="142"/>
      <c r="C76" s="191"/>
      <c r="D76" s="192"/>
      <c r="E76" s="192"/>
      <c r="F76" s="143"/>
      <c r="G76" s="145"/>
    </row>
    <row r="78" spans="2:7" ht="16" thickBot="1" x14ac:dyDescent="0.25"/>
    <row r="79" spans="2:7" ht="24" x14ac:dyDescent="0.3">
      <c r="B79" s="135"/>
      <c r="C79" s="157" t="s">
        <v>565</v>
      </c>
      <c r="D79" s="157"/>
      <c r="E79" s="158"/>
      <c r="F79" s="138"/>
    </row>
    <row r="80" spans="2:7" x14ac:dyDescent="0.2">
      <c r="B80" s="139"/>
      <c r="F80" s="140"/>
    </row>
    <row r="81" spans="2:6" x14ac:dyDescent="0.2">
      <c r="B81" s="139"/>
      <c r="C81" s="22" t="s">
        <v>571</v>
      </c>
      <c r="D81" s="328">
        <v>0</v>
      </c>
      <c r="F81" s="140"/>
    </row>
    <row r="82" spans="2:6" x14ac:dyDescent="0.2">
      <c r="B82" s="139"/>
      <c r="C82" s="22" t="s">
        <v>572</v>
      </c>
      <c r="D82" s="327">
        <v>18</v>
      </c>
      <c r="F82" s="140"/>
    </row>
    <row r="83" spans="2:6" x14ac:dyDescent="0.2">
      <c r="B83" s="139"/>
      <c r="C83" s="22" t="s">
        <v>573</v>
      </c>
      <c r="D83" s="328">
        <v>250</v>
      </c>
      <c r="F83" s="140"/>
    </row>
    <row r="84" spans="2:6" x14ac:dyDescent="0.2">
      <c r="B84" s="139"/>
      <c r="C84" s="22" t="s">
        <v>574</v>
      </c>
      <c r="D84" s="327">
        <v>365</v>
      </c>
      <c r="F84" s="140"/>
    </row>
    <row r="85" spans="2:6" x14ac:dyDescent="0.2">
      <c r="B85" s="139"/>
      <c r="F85" s="140"/>
    </row>
    <row r="86" spans="2:6" ht="16" x14ac:dyDescent="0.2">
      <c r="B86" s="139"/>
      <c r="C86" s="148"/>
      <c r="D86" s="224" t="s">
        <v>567</v>
      </c>
      <c r="E86" s="224" t="s">
        <v>568</v>
      </c>
      <c r="F86" s="140"/>
    </row>
    <row r="87" spans="2:6" x14ac:dyDescent="0.2">
      <c r="B87" s="139"/>
      <c r="C87" s="22" t="s">
        <v>566</v>
      </c>
      <c r="D87" s="326">
        <f>E18*'Background calculations'!C251</f>
        <v>4810.9225007461919</v>
      </c>
      <c r="E87" s="325">
        <f>IFERROR(D87/'OUTPUT_Living wage'!E10,"")</f>
        <v>1.3090945580261746</v>
      </c>
      <c r="F87" s="140"/>
    </row>
    <row r="88" spans="2:6" ht="16" customHeight="1" x14ac:dyDescent="0.2">
      <c r="B88" s="139"/>
      <c r="C88" s="22" t="s">
        <v>575</v>
      </c>
      <c r="D88" s="326">
        <f>D87*'Background calculations'!F250</f>
        <v>1924.3690002984767</v>
      </c>
      <c r="E88" s="325">
        <f>IFERROR(D88/'OUTPUT_Living wage'!E10,"")</f>
        <v>0.52363782321046981</v>
      </c>
      <c r="F88" s="140"/>
    </row>
    <row r="89" spans="2:6" ht="16" customHeight="1" x14ac:dyDescent="0.2">
      <c r="B89" s="139"/>
      <c r="C89" s="22" t="s">
        <v>577</v>
      </c>
      <c r="D89" s="225">
        <f>(D81/D82)*D88</f>
        <v>0</v>
      </c>
      <c r="E89" s="325">
        <f>IFERROR(D89/'OUTPUT_Living wage'!E10,"")</f>
        <v>0</v>
      </c>
      <c r="F89" s="140"/>
    </row>
    <row r="90" spans="2:6" x14ac:dyDescent="0.2">
      <c r="B90" s="139"/>
      <c r="F90" s="140"/>
    </row>
    <row r="91" spans="2:6" ht="16" x14ac:dyDescent="0.2">
      <c r="B91" s="139"/>
      <c r="D91" s="224" t="s">
        <v>398</v>
      </c>
      <c r="E91" s="224" t="s">
        <v>254</v>
      </c>
      <c r="F91" s="140"/>
    </row>
    <row r="92" spans="2:6" x14ac:dyDescent="0.2">
      <c r="B92" s="139"/>
      <c r="C92" s="22" t="s">
        <v>570</v>
      </c>
      <c r="D92" s="225">
        <f>D89*180</f>
        <v>0</v>
      </c>
      <c r="E92" s="325">
        <f>IFERROR(D92/'OUTPUT_Living wage'!E10,"")</f>
        <v>0</v>
      </c>
      <c r="F92" s="140"/>
    </row>
    <row r="93" spans="2:6" x14ac:dyDescent="0.2">
      <c r="B93" s="139"/>
      <c r="F93" s="140"/>
    </row>
    <row r="94" spans="2:6" ht="16" x14ac:dyDescent="0.2">
      <c r="B94" s="139"/>
      <c r="D94" s="224" t="s">
        <v>576</v>
      </c>
      <c r="E94" s="224" t="s">
        <v>245</v>
      </c>
      <c r="F94" s="140"/>
    </row>
    <row r="95" spans="2:6" x14ac:dyDescent="0.2">
      <c r="B95" s="139"/>
      <c r="C95" s="22" t="s">
        <v>569</v>
      </c>
      <c r="D95" s="225">
        <f>D92/12</f>
        <v>0</v>
      </c>
      <c r="E95" s="325">
        <f>IFERROR(D95/'OUTPUT_Living wage'!E10,"")</f>
        <v>0</v>
      </c>
      <c r="F95" s="140"/>
    </row>
    <row r="96" spans="2:6" ht="16" thickBot="1" x14ac:dyDescent="0.25">
      <c r="B96" s="142"/>
      <c r="C96" s="143"/>
      <c r="D96" s="143"/>
      <c r="E96" s="143"/>
      <c r="F96" s="145"/>
    </row>
    <row r="98" ht="113.5" customHeight="1" x14ac:dyDescent="0.2"/>
    <row r="105" ht="45" customHeight="1" x14ac:dyDescent="0.2"/>
    <row r="146" ht="15.75" customHeight="1" x14ac:dyDescent="0.2"/>
    <row r="147" ht="23.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26.5" customHeight="1" x14ac:dyDescent="0.2"/>
    <row r="158" ht="15.75" customHeight="1" x14ac:dyDescent="0.2"/>
    <row r="159" ht="15.75" customHeight="1" x14ac:dyDescent="0.2"/>
    <row r="160" ht="15.75" customHeight="1" x14ac:dyDescent="0.2"/>
    <row r="161" ht="35.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23.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 customHeight="1" x14ac:dyDescent="0.2"/>
    <row r="191" ht="15" customHeight="1" x14ac:dyDescent="0.2"/>
    <row r="192" ht="15" customHeight="1" x14ac:dyDescent="0.2"/>
    <row r="193" spans="1:4" ht="15" customHeight="1" x14ac:dyDescent="0.2"/>
    <row r="194" spans="1:4" ht="15" customHeight="1" x14ac:dyDescent="0.2"/>
    <row r="195" spans="1:4" ht="15" customHeight="1" x14ac:dyDescent="0.2"/>
    <row r="196" spans="1:4" ht="15" customHeight="1" x14ac:dyDescent="0.2">
      <c r="A196" s="60"/>
    </row>
    <row r="197" spans="1:4" ht="15" customHeight="1" x14ac:dyDescent="0.2">
      <c r="A197" s="60"/>
    </row>
    <row r="198" spans="1:4" ht="15" customHeight="1" x14ac:dyDescent="0.2">
      <c r="A198" s="60"/>
    </row>
    <row r="199" spans="1:4" ht="15" customHeight="1" x14ac:dyDescent="0.2">
      <c r="A199" s="60"/>
    </row>
    <row r="200" spans="1:4" ht="15" customHeight="1" x14ac:dyDescent="0.2">
      <c r="A200" s="60"/>
    </row>
    <row r="201" spans="1:4" ht="23.5" customHeight="1" x14ac:dyDescent="0.2">
      <c r="A201" s="60"/>
    </row>
    <row r="202" spans="1:4" ht="15" customHeight="1" x14ac:dyDescent="0.2">
      <c r="A202" s="60"/>
    </row>
    <row r="203" spans="1:4" ht="15" customHeight="1" x14ac:dyDescent="0.2"/>
    <row r="207" spans="1:4" x14ac:dyDescent="0.2">
      <c r="C207" s="60"/>
      <c r="D207" s="134"/>
    </row>
    <row r="225" spans="3:4" x14ac:dyDescent="0.2">
      <c r="C225" s="60"/>
      <c r="D225" s="134"/>
    </row>
  </sheetData>
  <mergeCells count="2">
    <mergeCell ref="B7:F7"/>
    <mergeCell ref="H32:Q36"/>
  </mergeCells>
  <phoneticPr fontId="13" type="noConversion"/>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E8307FCD-BC4B-45D4-8781-86732B2951A9}">
            <xm:f>'Background calculations'!$C$102&gt;0.01</xm:f>
            <x14:dxf>
              <fill>
                <patternFill>
                  <bgColor rgb="FFC00000"/>
                </patternFill>
              </fill>
            </x14:dxf>
          </x14:cfRule>
          <x14:cfRule type="expression" priority="35" id="{FAAF748E-1872-4AB7-8BBA-349731704D79}">
            <xm:f>'Background calculations'!$C$102 &gt; 1%</xm:f>
            <x14:dxf>
              <font>
                <color auto="1"/>
              </font>
              <fill>
                <patternFill>
                  <bgColor rgb="FFC00000"/>
                </patternFill>
              </fill>
            </x14:dxf>
          </x14:cfRule>
          <xm:sqref>E35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C8A41-74E1-41DE-8177-50286C1F125B}">
  <sheetPr>
    <tabColor theme="9" tint="0.59999389629810485"/>
  </sheetPr>
  <dimension ref="A3:S37"/>
  <sheetViews>
    <sheetView showGridLines="0" zoomScale="49" zoomScaleNormal="85" workbookViewId="0">
      <selection activeCell="P33" sqref="P33"/>
    </sheetView>
  </sheetViews>
  <sheetFormatPr baseColWidth="10" defaultColWidth="8.83203125" defaultRowHeight="15" x14ac:dyDescent="0.2"/>
  <cols>
    <col min="1" max="1" width="31.83203125" customWidth="1"/>
    <col min="2" max="2" width="29.5" customWidth="1"/>
    <col min="3" max="3" width="25.83203125" bestFit="1" customWidth="1"/>
    <col min="4" max="4" width="11.5" bestFit="1" customWidth="1"/>
    <col min="5" max="6" width="9.1640625" bestFit="1" customWidth="1"/>
    <col min="7" max="9" width="9.83203125" bestFit="1" customWidth="1"/>
    <col min="10" max="10" width="9.5" customWidth="1"/>
    <col min="11" max="11" width="9.83203125" bestFit="1" customWidth="1"/>
    <col min="12" max="12" width="9.1640625" bestFit="1" customWidth="1"/>
    <col min="13" max="13" width="10.83203125" bestFit="1" customWidth="1"/>
    <col min="14" max="14" width="9.6640625" bestFit="1" customWidth="1"/>
    <col min="15" max="15" width="9.1640625" bestFit="1" customWidth="1"/>
    <col min="16" max="16" width="8.1640625" bestFit="1" customWidth="1"/>
    <col min="17" max="17" width="11" bestFit="1" customWidth="1"/>
    <col min="18" max="18" width="9.83203125" bestFit="1" customWidth="1"/>
    <col min="20" max="20" width="26.5" customWidth="1"/>
    <col min="21" max="21" width="21.83203125" customWidth="1"/>
  </cols>
  <sheetData>
    <row r="3" spans="1:18" ht="62" x14ac:dyDescent="0.7">
      <c r="A3" s="9" t="s">
        <v>317</v>
      </c>
    </row>
    <row r="4" spans="1:18" ht="19.5" customHeight="1" x14ac:dyDescent="0.7">
      <c r="A4" s="9"/>
    </row>
    <row r="5" spans="1:18" ht="21" x14ac:dyDescent="0.25">
      <c r="A5" s="8" t="s">
        <v>381</v>
      </c>
      <c r="B5" s="5"/>
      <c r="C5" s="5"/>
      <c r="D5" s="6"/>
      <c r="E5" s="6"/>
      <c r="F5" s="6"/>
      <c r="G5" s="6"/>
      <c r="H5" s="8"/>
      <c r="I5" s="5"/>
      <c r="J5" s="5"/>
      <c r="K5" s="6"/>
      <c r="L5" s="6"/>
      <c r="M5" s="6"/>
      <c r="N5" s="6"/>
      <c r="O5" s="8"/>
      <c r="P5" s="5"/>
      <c r="Q5" s="5"/>
      <c r="R5" s="6"/>
    </row>
    <row r="6" spans="1:18" x14ac:dyDescent="0.2">
      <c r="I6" s="3"/>
      <c r="J6" s="3"/>
      <c r="K6" s="3"/>
      <c r="L6" s="3"/>
      <c r="M6" s="3"/>
      <c r="N6" s="3"/>
      <c r="O6" s="3"/>
      <c r="P6" s="3"/>
      <c r="Q6" s="3"/>
      <c r="R6" s="3"/>
    </row>
    <row r="7" spans="1:18" x14ac:dyDescent="0.2">
      <c r="A7" s="4" t="s">
        <v>52</v>
      </c>
      <c r="B7" s="2"/>
      <c r="I7" s="3"/>
      <c r="J7" s="3"/>
      <c r="K7" s="3"/>
      <c r="L7" s="3"/>
      <c r="M7" s="3"/>
      <c r="N7" s="3"/>
      <c r="O7" s="3"/>
      <c r="P7" s="3"/>
      <c r="Q7" s="3"/>
      <c r="R7" s="3"/>
    </row>
    <row r="8" spans="1:18" ht="20.5" customHeight="1" x14ac:dyDescent="0.2">
      <c r="A8" s="16" t="s">
        <v>476</v>
      </c>
      <c r="B8" s="7"/>
      <c r="C8" s="1"/>
      <c r="D8" s="1"/>
      <c r="E8" s="1"/>
      <c r="F8" s="1"/>
      <c r="G8" s="1"/>
      <c r="H8" s="1"/>
      <c r="I8" s="1"/>
      <c r="J8" s="1"/>
      <c r="K8" s="1"/>
      <c r="L8" s="1"/>
      <c r="M8" s="1"/>
      <c r="N8" s="1"/>
      <c r="O8" s="1"/>
      <c r="P8" s="1"/>
      <c r="Q8" s="1"/>
      <c r="R8" s="1"/>
    </row>
    <row r="9" spans="1:18" ht="33" customHeight="1" x14ac:dyDescent="0.2">
      <c r="A9" s="423" t="s">
        <v>490</v>
      </c>
      <c r="B9" s="423"/>
      <c r="C9" s="423"/>
      <c r="D9" s="423"/>
      <c r="E9" s="423"/>
      <c r="F9" s="423"/>
      <c r="G9" s="423"/>
      <c r="H9" s="423"/>
      <c r="I9" s="423"/>
      <c r="J9" s="423"/>
      <c r="K9" s="423"/>
      <c r="L9" s="423"/>
      <c r="M9" s="423"/>
      <c r="N9" s="423"/>
      <c r="O9" s="423"/>
      <c r="P9" s="423"/>
      <c r="Q9" s="423"/>
      <c r="R9" s="423"/>
    </row>
    <row r="10" spans="1:18" ht="30" customHeight="1" x14ac:dyDescent="0.2">
      <c r="A10" s="423"/>
      <c r="B10" s="423"/>
      <c r="C10" s="423"/>
      <c r="D10" s="423"/>
      <c r="E10" s="423"/>
      <c r="F10" s="423"/>
      <c r="G10" s="423"/>
      <c r="H10" s="423"/>
      <c r="I10" s="423"/>
      <c r="J10" s="423"/>
      <c r="K10" s="423"/>
      <c r="L10" s="423"/>
      <c r="M10" s="423"/>
      <c r="N10" s="423"/>
      <c r="O10" s="423"/>
      <c r="P10" s="423"/>
      <c r="Q10" s="423"/>
      <c r="R10" s="423"/>
    </row>
    <row r="11" spans="1:18" ht="30" customHeight="1" x14ac:dyDescent="0.2">
      <c r="A11" s="423"/>
      <c r="B11" s="423"/>
      <c r="C11" s="423"/>
      <c r="D11" s="423"/>
      <c r="E11" s="423"/>
      <c r="F11" s="423"/>
      <c r="G11" s="423"/>
      <c r="H11" s="423"/>
      <c r="I11" s="423"/>
      <c r="J11" s="423"/>
      <c r="K11" s="423"/>
      <c r="L11" s="423"/>
      <c r="M11" s="423"/>
      <c r="N11" s="423"/>
      <c r="O11" s="423"/>
      <c r="P11" s="423"/>
      <c r="Q11" s="423"/>
      <c r="R11" s="423"/>
    </row>
    <row r="12" spans="1:18" ht="12.75" customHeight="1" x14ac:dyDescent="0.2">
      <c r="A12" s="423"/>
      <c r="B12" s="423"/>
      <c r="C12" s="423"/>
      <c r="D12" s="423"/>
      <c r="E12" s="423"/>
      <c r="F12" s="423"/>
      <c r="G12" s="423"/>
      <c r="H12" s="423"/>
      <c r="I12" s="423"/>
      <c r="J12" s="423"/>
      <c r="K12" s="423"/>
      <c r="L12" s="423"/>
      <c r="M12" s="423"/>
      <c r="N12" s="423"/>
      <c r="O12" s="423"/>
      <c r="P12" s="423"/>
      <c r="Q12" s="423"/>
      <c r="R12" s="423"/>
    </row>
    <row r="13" spans="1:18" x14ac:dyDescent="0.2">
      <c r="D13" s="3"/>
      <c r="E13" s="3"/>
      <c r="F13" s="3"/>
      <c r="G13" s="3"/>
      <c r="H13" s="3"/>
      <c r="I13" s="3"/>
      <c r="J13" s="3"/>
      <c r="K13" s="3"/>
      <c r="L13" s="3"/>
      <c r="M13" s="3"/>
      <c r="N13" s="3"/>
      <c r="O13" s="3"/>
      <c r="P13" s="3"/>
      <c r="Q13" s="3"/>
      <c r="R13" s="3"/>
    </row>
    <row r="14" spans="1:18" x14ac:dyDescent="0.2">
      <c r="D14" s="422" t="s">
        <v>373</v>
      </c>
      <c r="E14" s="422"/>
      <c r="F14" s="422"/>
      <c r="G14" s="422"/>
      <c r="H14" s="422"/>
      <c r="I14" s="422"/>
      <c r="J14" s="422"/>
      <c r="K14" s="422"/>
      <c r="L14" s="422"/>
      <c r="M14" s="422"/>
      <c r="N14" s="422"/>
      <c r="O14" s="422"/>
      <c r="P14" s="422"/>
      <c r="Q14" s="422"/>
      <c r="R14" s="422"/>
    </row>
    <row r="15" spans="1:18" ht="33" customHeight="1" x14ac:dyDescent="0.2">
      <c r="A15" s="18" t="s">
        <v>436</v>
      </c>
      <c r="B15" s="18" t="s">
        <v>450</v>
      </c>
      <c r="C15" s="18" t="s">
        <v>123</v>
      </c>
      <c r="D15" s="17">
        <v>1</v>
      </c>
      <c r="E15" s="17">
        <v>2</v>
      </c>
      <c r="F15" s="17">
        <v>3</v>
      </c>
      <c r="G15" s="17">
        <v>4</v>
      </c>
      <c r="H15" s="17">
        <v>5</v>
      </c>
      <c r="I15" s="17">
        <v>6</v>
      </c>
      <c r="J15" s="17">
        <v>7</v>
      </c>
      <c r="K15" s="17">
        <v>8</v>
      </c>
      <c r="L15" s="17">
        <v>9</v>
      </c>
      <c r="M15" s="17">
        <v>10</v>
      </c>
      <c r="N15" s="17">
        <v>11</v>
      </c>
      <c r="O15" s="17">
        <v>12</v>
      </c>
      <c r="P15" s="17">
        <v>13</v>
      </c>
      <c r="Q15" s="17">
        <v>14</v>
      </c>
      <c r="R15" s="17">
        <v>15</v>
      </c>
    </row>
    <row r="16" spans="1:18" ht="32" x14ac:dyDescent="0.2">
      <c r="A16" s="11" t="s">
        <v>437</v>
      </c>
      <c r="B16" s="10" t="s">
        <v>53</v>
      </c>
      <c r="C16" s="11" t="s">
        <v>124</v>
      </c>
      <c r="D16" s="19">
        <v>60</v>
      </c>
      <c r="E16" s="19">
        <v>35</v>
      </c>
      <c r="F16" s="19">
        <v>42</v>
      </c>
      <c r="G16" s="19">
        <v>56</v>
      </c>
      <c r="H16" s="19">
        <v>43</v>
      </c>
      <c r="I16" s="19">
        <v>56</v>
      </c>
      <c r="J16" s="19">
        <v>28</v>
      </c>
      <c r="K16" s="19">
        <v>32</v>
      </c>
      <c r="L16" s="19">
        <v>33</v>
      </c>
      <c r="M16" s="19">
        <v>54</v>
      </c>
      <c r="N16" s="19">
        <v>38</v>
      </c>
      <c r="O16" s="19">
        <v>59</v>
      </c>
      <c r="P16" s="19">
        <v>54</v>
      </c>
      <c r="Q16" s="19">
        <v>37</v>
      </c>
      <c r="R16" s="19">
        <v>71</v>
      </c>
    </row>
    <row r="17" spans="1:19" ht="32" x14ac:dyDescent="0.2">
      <c r="A17" s="11" t="s">
        <v>437</v>
      </c>
      <c r="B17" s="10" t="s">
        <v>54</v>
      </c>
      <c r="C17" s="11" t="s">
        <v>125</v>
      </c>
      <c r="D17" s="19" t="s">
        <v>633</v>
      </c>
      <c r="E17" s="19" t="s">
        <v>634</v>
      </c>
      <c r="F17" s="19" t="s">
        <v>633</v>
      </c>
      <c r="G17" s="19" t="s">
        <v>634</v>
      </c>
      <c r="H17" s="19" t="s">
        <v>634</v>
      </c>
      <c r="I17" s="19" t="s">
        <v>633</v>
      </c>
      <c r="J17" s="19" t="s">
        <v>633</v>
      </c>
      <c r="K17" s="19" t="s">
        <v>634</v>
      </c>
      <c r="L17" s="19" t="s">
        <v>634</v>
      </c>
      <c r="M17" s="19" t="s">
        <v>633</v>
      </c>
      <c r="N17" s="19" t="s">
        <v>633</v>
      </c>
      <c r="O17" s="19" t="s">
        <v>634</v>
      </c>
      <c r="P17" s="19" t="s">
        <v>634</v>
      </c>
      <c r="Q17" s="19" t="s">
        <v>634</v>
      </c>
      <c r="R17" s="19" t="s">
        <v>633</v>
      </c>
    </row>
    <row r="18" spans="1:19" ht="32" x14ac:dyDescent="0.2">
      <c r="A18" s="11" t="s">
        <v>437</v>
      </c>
      <c r="B18" s="10" t="s">
        <v>55</v>
      </c>
      <c r="C18" s="11" t="s">
        <v>127</v>
      </c>
      <c r="D18" s="19">
        <v>4</v>
      </c>
      <c r="E18" s="19">
        <v>4</v>
      </c>
      <c r="F18" s="19">
        <v>4</v>
      </c>
      <c r="G18" s="19">
        <v>4</v>
      </c>
      <c r="H18" s="19">
        <v>4</v>
      </c>
      <c r="I18" s="19">
        <v>4</v>
      </c>
      <c r="J18" s="19">
        <v>4</v>
      </c>
      <c r="K18" s="19">
        <v>4</v>
      </c>
      <c r="L18" s="19">
        <v>4</v>
      </c>
      <c r="M18" s="19">
        <v>4</v>
      </c>
      <c r="N18" s="19">
        <v>4</v>
      </c>
      <c r="O18" s="19">
        <v>4</v>
      </c>
      <c r="P18" s="19">
        <v>4</v>
      </c>
      <c r="Q18" s="19">
        <v>4</v>
      </c>
      <c r="R18" s="19">
        <v>4</v>
      </c>
    </row>
    <row r="19" spans="1:19" ht="16" x14ac:dyDescent="0.2">
      <c r="A19" s="11" t="s">
        <v>437</v>
      </c>
      <c r="B19" s="10" t="s">
        <v>372</v>
      </c>
      <c r="C19" s="11" t="s">
        <v>128</v>
      </c>
      <c r="D19" s="19">
        <v>2</v>
      </c>
      <c r="E19" s="19">
        <v>2</v>
      </c>
      <c r="F19" s="19">
        <v>2</v>
      </c>
      <c r="G19" s="19">
        <v>2</v>
      </c>
      <c r="H19" s="19">
        <v>2</v>
      </c>
      <c r="I19" s="19">
        <v>2</v>
      </c>
      <c r="J19" s="19">
        <v>2</v>
      </c>
      <c r="K19" s="19">
        <v>2</v>
      </c>
      <c r="L19" s="19">
        <v>2</v>
      </c>
      <c r="M19" s="19">
        <v>2</v>
      </c>
      <c r="N19" s="19">
        <v>2</v>
      </c>
      <c r="O19" s="19">
        <v>2</v>
      </c>
      <c r="P19" s="19">
        <v>2</v>
      </c>
      <c r="Q19" s="19">
        <v>2</v>
      </c>
      <c r="R19" s="19">
        <v>2</v>
      </c>
    </row>
    <row r="20" spans="1:19" ht="32" x14ac:dyDescent="0.2">
      <c r="A20" s="11" t="s">
        <v>437</v>
      </c>
      <c r="B20" s="10" t="s">
        <v>56</v>
      </c>
      <c r="C20" s="11" t="s">
        <v>129</v>
      </c>
      <c r="D20" s="19">
        <v>2</v>
      </c>
      <c r="E20" s="19">
        <v>2</v>
      </c>
      <c r="F20" s="19">
        <v>2</v>
      </c>
      <c r="G20" s="19">
        <v>2</v>
      </c>
      <c r="H20" s="19">
        <v>2</v>
      </c>
      <c r="I20" s="19">
        <v>1</v>
      </c>
      <c r="J20" s="19">
        <v>2</v>
      </c>
      <c r="K20" s="19">
        <v>1</v>
      </c>
      <c r="L20" s="19">
        <v>2</v>
      </c>
      <c r="M20" s="19">
        <v>2</v>
      </c>
      <c r="N20" s="19">
        <v>2</v>
      </c>
      <c r="O20" s="19">
        <v>2</v>
      </c>
      <c r="P20" s="19">
        <v>2</v>
      </c>
      <c r="Q20" s="19">
        <v>2</v>
      </c>
      <c r="R20" s="19">
        <v>2</v>
      </c>
    </row>
    <row r="21" spans="1:19" ht="32" x14ac:dyDescent="0.2">
      <c r="A21" s="11" t="s">
        <v>437</v>
      </c>
      <c r="B21" s="10" t="s">
        <v>57</v>
      </c>
      <c r="C21" s="11" t="s">
        <v>130</v>
      </c>
      <c r="D21" s="19">
        <v>0</v>
      </c>
      <c r="E21" s="19">
        <v>0</v>
      </c>
      <c r="F21" s="19">
        <v>0</v>
      </c>
      <c r="G21" s="19">
        <v>0</v>
      </c>
      <c r="H21" s="19">
        <v>0</v>
      </c>
      <c r="I21" s="19">
        <v>1</v>
      </c>
      <c r="J21" s="19">
        <v>0</v>
      </c>
      <c r="K21" s="19">
        <v>1</v>
      </c>
      <c r="L21" s="19">
        <v>0</v>
      </c>
      <c r="M21" s="19">
        <v>0</v>
      </c>
      <c r="N21" s="19">
        <v>0</v>
      </c>
      <c r="O21" s="19">
        <v>0</v>
      </c>
      <c r="P21" s="19">
        <v>0</v>
      </c>
      <c r="Q21" s="19">
        <v>0</v>
      </c>
      <c r="R21" s="19">
        <v>0</v>
      </c>
    </row>
    <row r="22" spans="1:19" ht="32.25" customHeight="1" x14ac:dyDescent="0.2">
      <c r="A22" s="11" t="s">
        <v>437</v>
      </c>
      <c r="B22" s="10" t="s">
        <v>58</v>
      </c>
      <c r="C22" s="11" t="s">
        <v>58</v>
      </c>
      <c r="D22" s="19">
        <v>3</v>
      </c>
      <c r="E22" s="19">
        <v>4</v>
      </c>
      <c r="F22" s="19">
        <v>2</v>
      </c>
      <c r="G22" s="19">
        <v>3</v>
      </c>
      <c r="H22" s="19">
        <v>4</v>
      </c>
      <c r="I22" s="19">
        <v>3</v>
      </c>
      <c r="J22" s="19">
        <v>5</v>
      </c>
      <c r="K22" s="19">
        <v>2</v>
      </c>
      <c r="L22" s="19">
        <v>4</v>
      </c>
      <c r="M22" s="19">
        <v>4</v>
      </c>
      <c r="N22" s="19">
        <v>5</v>
      </c>
      <c r="O22" s="19">
        <v>0</v>
      </c>
      <c r="P22" s="19">
        <v>3</v>
      </c>
      <c r="Q22" s="19">
        <v>3</v>
      </c>
      <c r="R22" s="19">
        <v>6</v>
      </c>
    </row>
    <row r="23" spans="1:19" ht="32" x14ac:dyDescent="0.2">
      <c r="A23" s="11" t="s">
        <v>438</v>
      </c>
      <c r="B23" s="330" t="s">
        <v>371</v>
      </c>
      <c r="C23" s="11" t="s">
        <v>126</v>
      </c>
      <c r="D23" s="19">
        <v>3</v>
      </c>
      <c r="E23" s="19">
        <v>2</v>
      </c>
      <c r="F23" s="19">
        <v>3</v>
      </c>
      <c r="G23" s="19">
        <v>3</v>
      </c>
      <c r="H23" s="19">
        <v>2</v>
      </c>
      <c r="I23" s="19">
        <v>3</v>
      </c>
      <c r="J23" s="19">
        <v>3</v>
      </c>
      <c r="K23" s="19">
        <v>2</v>
      </c>
      <c r="L23" s="19">
        <v>2</v>
      </c>
      <c r="M23" s="19">
        <v>3</v>
      </c>
      <c r="N23" s="19">
        <v>2</v>
      </c>
      <c r="O23" s="19">
        <v>3</v>
      </c>
      <c r="P23" s="19">
        <v>3</v>
      </c>
      <c r="Q23" s="19">
        <v>3</v>
      </c>
      <c r="R23" s="19">
        <v>2</v>
      </c>
    </row>
    <row r="24" spans="1:19" ht="26.5" customHeight="1" x14ac:dyDescent="0.2">
      <c r="A24" s="11" t="s">
        <v>438</v>
      </c>
      <c r="B24" s="10" t="s">
        <v>59</v>
      </c>
      <c r="C24" s="11" t="s">
        <v>131</v>
      </c>
      <c r="D24" s="19">
        <v>25.08</v>
      </c>
      <c r="E24" s="19">
        <v>40.25</v>
      </c>
      <c r="F24" s="19">
        <v>44.59</v>
      </c>
      <c r="G24" s="19">
        <v>66.89</v>
      </c>
      <c r="H24" s="19">
        <v>80.3</v>
      </c>
      <c r="I24" s="19">
        <v>66.89</v>
      </c>
      <c r="J24" s="19">
        <v>50.15</v>
      </c>
      <c r="K24" s="19">
        <v>29.73</v>
      </c>
      <c r="L24" s="19">
        <v>45.52</v>
      </c>
      <c r="M24" s="19">
        <v>91.97</v>
      </c>
      <c r="N24" s="19">
        <v>88.26</v>
      </c>
      <c r="O24" s="19">
        <v>55.74</v>
      </c>
      <c r="P24" s="19">
        <v>74.319999999999993</v>
      </c>
      <c r="Q24" s="19">
        <v>27.87</v>
      </c>
      <c r="R24" s="19">
        <v>67.16</v>
      </c>
    </row>
    <row r="25" spans="1:19" x14ac:dyDescent="0.2">
      <c r="A25" s="318"/>
      <c r="B25" s="319"/>
      <c r="C25" s="319"/>
      <c r="D25" s="373"/>
      <c r="E25" s="373"/>
      <c r="F25" s="373"/>
      <c r="G25" s="373"/>
      <c r="H25" s="373"/>
      <c r="I25" s="373"/>
      <c r="J25" s="373"/>
      <c r="K25" s="373"/>
      <c r="L25" s="373"/>
      <c r="M25" s="373"/>
      <c r="N25" s="373"/>
      <c r="O25" s="373"/>
      <c r="P25" s="373"/>
      <c r="Q25" s="373"/>
      <c r="R25" s="373"/>
    </row>
    <row r="26" spans="1:19" ht="16" x14ac:dyDescent="0.2">
      <c r="A26" s="11" t="s">
        <v>444</v>
      </c>
      <c r="B26" s="11" t="s">
        <v>445</v>
      </c>
      <c r="C26" s="12" t="s">
        <v>392</v>
      </c>
      <c r="D26" s="20">
        <v>60000</v>
      </c>
      <c r="E26" s="20">
        <v>60000</v>
      </c>
      <c r="F26" s="20">
        <v>70000</v>
      </c>
      <c r="G26" s="20">
        <v>50000</v>
      </c>
      <c r="H26" s="20">
        <v>50000</v>
      </c>
      <c r="I26" s="20">
        <v>30000</v>
      </c>
      <c r="J26" s="20">
        <v>25000</v>
      </c>
      <c r="K26" s="20">
        <v>40000</v>
      </c>
      <c r="L26" s="20">
        <v>40000</v>
      </c>
      <c r="M26" s="20">
        <v>100000</v>
      </c>
      <c r="N26" s="20">
        <v>40000</v>
      </c>
      <c r="O26" s="20">
        <v>150000</v>
      </c>
      <c r="P26" s="20">
        <v>20000</v>
      </c>
      <c r="Q26" s="20">
        <v>30000</v>
      </c>
      <c r="R26" s="20">
        <v>50000</v>
      </c>
    </row>
    <row r="27" spans="1:19" ht="16" x14ac:dyDescent="0.2">
      <c r="A27" s="11" t="s">
        <v>441</v>
      </c>
      <c r="B27" s="11" t="s">
        <v>63</v>
      </c>
      <c r="C27" s="12" t="s">
        <v>393</v>
      </c>
      <c r="D27" s="20">
        <v>0</v>
      </c>
      <c r="E27" s="20">
        <v>10500</v>
      </c>
      <c r="F27" s="20">
        <v>9000</v>
      </c>
      <c r="G27" s="20">
        <v>1500</v>
      </c>
      <c r="H27" s="20">
        <v>9000</v>
      </c>
      <c r="I27" s="20">
        <v>990</v>
      </c>
      <c r="J27" s="20">
        <v>1500</v>
      </c>
      <c r="K27" s="20">
        <v>18000</v>
      </c>
      <c r="L27" s="20">
        <v>2010</v>
      </c>
      <c r="M27" s="20">
        <v>1500</v>
      </c>
      <c r="N27" s="20">
        <v>1500</v>
      </c>
      <c r="O27" s="20">
        <v>45000</v>
      </c>
      <c r="P27" s="20">
        <v>600</v>
      </c>
      <c r="Q27" s="20">
        <v>3000</v>
      </c>
      <c r="R27" s="20">
        <v>1680</v>
      </c>
    </row>
    <row r="28" spans="1:19" ht="32" x14ac:dyDescent="0.2">
      <c r="A28" s="11" t="s">
        <v>443</v>
      </c>
      <c r="B28" s="11" t="s">
        <v>435</v>
      </c>
      <c r="C28" s="12" t="s">
        <v>628</v>
      </c>
      <c r="D28" s="20">
        <v>0</v>
      </c>
      <c r="E28" s="20">
        <v>10000</v>
      </c>
      <c r="F28" s="20">
        <v>12000</v>
      </c>
      <c r="G28" s="20">
        <v>0</v>
      </c>
      <c r="H28" s="20">
        <v>0</v>
      </c>
      <c r="I28" s="20">
        <v>0</v>
      </c>
      <c r="J28" s="20">
        <v>0</v>
      </c>
      <c r="K28" s="20">
        <v>0</v>
      </c>
      <c r="L28" s="20">
        <v>0</v>
      </c>
      <c r="M28" s="20">
        <v>0</v>
      </c>
      <c r="N28" s="20">
        <v>26667</v>
      </c>
      <c r="O28" s="20">
        <v>0</v>
      </c>
      <c r="P28" s="20">
        <v>0</v>
      </c>
      <c r="Q28" s="20">
        <v>0</v>
      </c>
      <c r="R28" s="20">
        <v>0</v>
      </c>
    </row>
    <row r="29" spans="1:19" ht="32" x14ac:dyDescent="0.2">
      <c r="A29" s="11" t="s">
        <v>442</v>
      </c>
      <c r="B29" s="11" t="s">
        <v>434</v>
      </c>
      <c r="C29" s="12" t="s">
        <v>629</v>
      </c>
      <c r="D29" s="20">
        <v>30000</v>
      </c>
      <c r="E29" s="20">
        <v>60000</v>
      </c>
      <c r="F29" s="20">
        <v>60000</v>
      </c>
      <c r="G29" s="20">
        <v>60000</v>
      </c>
      <c r="H29" s="20">
        <v>60000</v>
      </c>
      <c r="I29" s="20">
        <v>120000</v>
      </c>
      <c r="J29" s="20">
        <v>60000</v>
      </c>
      <c r="K29" s="20">
        <v>60000</v>
      </c>
      <c r="L29" s="20">
        <v>120000</v>
      </c>
      <c r="M29" s="20">
        <v>70000</v>
      </c>
      <c r="N29" s="20">
        <v>60000</v>
      </c>
      <c r="O29" s="20">
        <v>60000</v>
      </c>
      <c r="P29" s="20">
        <v>60000</v>
      </c>
      <c r="Q29" s="20">
        <v>60000</v>
      </c>
      <c r="R29" s="20">
        <v>60000</v>
      </c>
    </row>
    <row r="30" spans="1:19" x14ac:dyDescent="0.2">
      <c r="A30" s="13"/>
      <c r="B30" s="14"/>
      <c r="C30" s="14"/>
      <c r="D30" s="14"/>
      <c r="E30" s="14"/>
      <c r="F30" s="14"/>
      <c r="G30" s="14"/>
      <c r="H30" s="14"/>
      <c r="I30" s="14"/>
      <c r="J30" s="14"/>
      <c r="K30" s="14"/>
      <c r="L30" s="14"/>
      <c r="M30" s="14"/>
      <c r="N30" s="14"/>
      <c r="O30" s="370"/>
      <c r="P30" s="14"/>
      <c r="Q30" s="14"/>
      <c r="R30" s="15"/>
    </row>
    <row r="31" spans="1:19" ht="32" x14ac:dyDescent="0.2">
      <c r="A31" s="10" t="s">
        <v>446</v>
      </c>
      <c r="B31" s="11" t="s">
        <v>447</v>
      </c>
      <c r="C31" s="12" t="s">
        <v>394</v>
      </c>
      <c r="D31" s="20">
        <v>0</v>
      </c>
      <c r="E31" s="20">
        <v>26667</v>
      </c>
      <c r="F31" s="20">
        <v>0</v>
      </c>
      <c r="G31" s="20">
        <v>0</v>
      </c>
      <c r="H31" s="20">
        <v>0</v>
      </c>
      <c r="I31" s="20">
        <v>0</v>
      </c>
      <c r="J31" s="20">
        <v>0</v>
      </c>
      <c r="K31" s="20">
        <v>0</v>
      </c>
      <c r="L31" s="20">
        <v>0</v>
      </c>
      <c r="M31" s="20">
        <v>0</v>
      </c>
      <c r="N31" s="20">
        <v>26667</v>
      </c>
      <c r="O31" s="20">
        <v>0</v>
      </c>
      <c r="P31" s="20">
        <v>33333</v>
      </c>
      <c r="Q31" s="20">
        <v>0</v>
      </c>
      <c r="R31" s="20">
        <v>26667</v>
      </c>
      <c r="S31" s="359"/>
    </row>
    <row r="32" spans="1:19" ht="32" x14ac:dyDescent="0.2">
      <c r="A32" s="10" t="s">
        <v>446</v>
      </c>
      <c r="B32" s="11" t="s">
        <v>448</v>
      </c>
      <c r="C32" s="12" t="s">
        <v>395</v>
      </c>
      <c r="D32" s="20">
        <v>75000</v>
      </c>
      <c r="E32" s="20">
        <v>118333</v>
      </c>
      <c r="F32" s="20">
        <v>93333</v>
      </c>
      <c r="G32" s="20">
        <v>140000</v>
      </c>
      <c r="H32" s="20">
        <v>123333</v>
      </c>
      <c r="I32" s="20">
        <v>80000</v>
      </c>
      <c r="J32" s="20">
        <v>175000</v>
      </c>
      <c r="K32" s="20">
        <v>98333</v>
      </c>
      <c r="L32" s="20">
        <v>166667</v>
      </c>
      <c r="M32" s="20">
        <v>126667</v>
      </c>
      <c r="N32" s="20">
        <v>100000</v>
      </c>
      <c r="O32" s="20">
        <v>60000</v>
      </c>
      <c r="P32" s="20">
        <v>66667</v>
      </c>
      <c r="Q32" s="20">
        <v>80000</v>
      </c>
      <c r="R32" s="20">
        <v>73333</v>
      </c>
      <c r="S32" s="369"/>
    </row>
    <row r="33" spans="1:18" ht="32" x14ac:dyDescent="0.2">
      <c r="A33" s="10" t="s">
        <v>446</v>
      </c>
      <c r="B33" s="11" t="s">
        <v>449</v>
      </c>
      <c r="C33" s="12" t="s">
        <v>396</v>
      </c>
      <c r="D33" s="20">
        <v>82000</v>
      </c>
      <c r="E33" s="20">
        <v>30000</v>
      </c>
      <c r="F33" s="20">
        <v>20000</v>
      </c>
      <c r="G33" s="20">
        <v>4000</v>
      </c>
      <c r="H33" s="20">
        <v>0</v>
      </c>
      <c r="I33" s="20">
        <v>28000</v>
      </c>
      <c r="J33" s="20">
        <v>40000</v>
      </c>
      <c r="K33" s="20">
        <v>2000</v>
      </c>
      <c r="L33" s="20">
        <v>10000</v>
      </c>
      <c r="M33" s="20">
        <v>0</v>
      </c>
      <c r="N33" s="20">
        <v>30000</v>
      </c>
      <c r="O33" s="20">
        <v>0</v>
      </c>
      <c r="P33" s="20">
        <v>70000</v>
      </c>
      <c r="Q33" s="20">
        <v>12000</v>
      </c>
      <c r="R33" s="20">
        <v>12000</v>
      </c>
    </row>
    <row r="36" spans="1:18" x14ac:dyDescent="0.2">
      <c r="A36" s="372"/>
      <c r="K36" s="360"/>
    </row>
    <row r="37" spans="1:18" x14ac:dyDescent="0.2">
      <c r="A37" s="372"/>
    </row>
  </sheetData>
  <mergeCells count="2">
    <mergeCell ref="D14:R14"/>
    <mergeCell ref="A9:R1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1AF53-CB9C-4101-A699-00FB8822F78D}">
  <sheetPr>
    <tabColor theme="7" tint="0.59999389629810485"/>
  </sheetPr>
  <dimension ref="A3:AI94"/>
  <sheetViews>
    <sheetView showGridLines="0" tabSelected="1" topLeftCell="B27" zoomScale="82" zoomScaleNormal="70" workbookViewId="0">
      <selection activeCell="D42" sqref="D42:D48"/>
    </sheetView>
  </sheetViews>
  <sheetFormatPr baseColWidth="10" defaultColWidth="8.83203125" defaultRowHeight="15" x14ac:dyDescent="0.2"/>
  <cols>
    <col min="1" max="1" width="1.1640625" style="22" customWidth="1"/>
    <col min="2" max="2" width="27.5" style="22" customWidth="1"/>
    <col min="3" max="3" width="36.1640625" style="22" customWidth="1"/>
    <col min="4" max="26" width="11.1640625" style="22" customWidth="1"/>
    <col min="27" max="27" width="15.5" style="22" customWidth="1"/>
    <col min="28" max="28" width="11.1640625" style="22" customWidth="1"/>
    <col min="29" max="29" width="23.5" style="22" customWidth="1"/>
    <col min="30" max="30" width="10.1640625" style="22" customWidth="1"/>
    <col min="31" max="31" width="21.1640625" style="203" customWidth="1"/>
    <col min="32" max="32" width="8.83203125" style="22"/>
    <col min="33" max="33" width="8.83203125" style="22" customWidth="1"/>
    <col min="34" max="34" width="13.5" style="22" customWidth="1"/>
    <col min="35" max="16384" width="8.83203125" style="22"/>
  </cols>
  <sheetData>
    <row r="3" spans="1:35" ht="63" thickBot="1" x14ac:dyDescent="0.75">
      <c r="C3" s="202" t="s">
        <v>287</v>
      </c>
    </row>
    <row r="4" spans="1:35" x14ac:dyDescent="0.2">
      <c r="C4" s="60"/>
      <c r="AB4" s="204"/>
      <c r="AC4" s="176"/>
    </row>
    <row r="5" spans="1:35" x14ac:dyDescent="0.2">
      <c r="B5" s="23" t="s">
        <v>52</v>
      </c>
      <c r="D5" s="134"/>
      <c r="K5" s="75"/>
      <c r="L5" s="75"/>
      <c r="M5" s="75"/>
      <c r="N5" s="75"/>
      <c r="O5" s="75"/>
      <c r="P5" s="75"/>
      <c r="Q5" s="75"/>
      <c r="R5" s="75"/>
      <c r="S5" s="75"/>
      <c r="T5" s="75"/>
      <c r="AB5" s="430" t="s">
        <v>509</v>
      </c>
      <c r="AC5" s="431"/>
    </row>
    <row r="6" spans="1:35" ht="179.25" customHeight="1" thickBot="1" x14ac:dyDescent="0.25">
      <c r="B6" s="434" t="s">
        <v>489</v>
      </c>
      <c r="C6" s="434"/>
      <c r="AB6" s="432"/>
      <c r="AC6" s="433"/>
    </row>
    <row r="9" spans="1:35" x14ac:dyDescent="0.2">
      <c r="AE9" s="435" t="s">
        <v>602</v>
      </c>
      <c r="AF9" s="436"/>
      <c r="AG9" s="436"/>
      <c r="AH9" s="436"/>
      <c r="AI9" s="436"/>
    </row>
    <row r="10" spans="1:35" s="206" customFormat="1" ht="16" x14ac:dyDescent="0.2">
      <c r="B10" s="37" t="s">
        <v>100</v>
      </c>
      <c r="C10" s="37" t="s">
        <v>101</v>
      </c>
      <c r="D10" s="205" t="s">
        <v>37</v>
      </c>
      <c r="E10" s="205" t="s">
        <v>38</v>
      </c>
      <c r="F10" s="205" t="s">
        <v>39</v>
      </c>
      <c r="G10" s="205" t="s">
        <v>40</v>
      </c>
      <c r="H10" s="205" t="s">
        <v>41</v>
      </c>
      <c r="I10" s="205" t="s">
        <v>42</v>
      </c>
      <c r="J10" s="205" t="s">
        <v>43</v>
      </c>
      <c r="K10" s="205" t="s">
        <v>44</v>
      </c>
      <c r="L10" s="205" t="s">
        <v>45</v>
      </c>
      <c r="M10" s="205" t="s">
        <v>107</v>
      </c>
      <c r="N10" s="205" t="s">
        <v>108</v>
      </c>
      <c r="O10" s="205" t="s">
        <v>109</v>
      </c>
      <c r="P10" s="205" t="s">
        <v>110</v>
      </c>
      <c r="Q10" s="205" t="s">
        <v>111</v>
      </c>
      <c r="R10" s="205" t="s">
        <v>112</v>
      </c>
      <c r="S10" s="205" t="s">
        <v>113</v>
      </c>
      <c r="T10" s="205" t="s">
        <v>114</v>
      </c>
      <c r="U10" s="205" t="s">
        <v>115</v>
      </c>
      <c r="V10" s="205" t="s">
        <v>116</v>
      </c>
      <c r="W10" s="205" t="s">
        <v>117</v>
      </c>
      <c r="X10" s="205" t="s">
        <v>118</v>
      </c>
      <c r="Y10" s="205" t="s">
        <v>119</v>
      </c>
      <c r="Z10" s="205" t="s">
        <v>120</v>
      </c>
      <c r="AA10" s="205" t="s">
        <v>121</v>
      </c>
      <c r="AB10" s="205" t="s">
        <v>161</v>
      </c>
      <c r="AC10" s="205"/>
      <c r="AD10" s="37"/>
      <c r="AE10" s="207" t="s">
        <v>625</v>
      </c>
      <c r="AF10" s="206" t="s">
        <v>198</v>
      </c>
      <c r="AG10" s="206" t="s">
        <v>601</v>
      </c>
      <c r="AH10" s="206" t="s">
        <v>604</v>
      </c>
      <c r="AI10" s="366" t="s">
        <v>198</v>
      </c>
    </row>
    <row r="11" spans="1:35" x14ac:dyDescent="0.2">
      <c r="A11" s="315"/>
      <c r="B11" s="316" t="s">
        <v>102</v>
      </c>
      <c r="C11" s="320" t="s">
        <v>635</v>
      </c>
      <c r="D11" s="209">
        <v>4500</v>
      </c>
      <c r="E11" s="209">
        <v>3000</v>
      </c>
      <c r="F11" s="209">
        <v>3500</v>
      </c>
      <c r="G11" s="209"/>
      <c r="H11" s="209"/>
      <c r="I11" s="209"/>
      <c r="J11" s="209"/>
      <c r="K11" s="209"/>
      <c r="L11" s="209"/>
      <c r="M11" s="209"/>
      <c r="N11" s="209"/>
      <c r="O11" s="209"/>
      <c r="P11" s="209"/>
      <c r="Q11" s="209"/>
      <c r="R11" s="209"/>
      <c r="S11" s="209"/>
      <c r="T11" s="209"/>
      <c r="U11" s="209"/>
      <c r="V11" s="209"/>
      <c r="W11" s="209"/>
      <c r="X11" s="209"/>
      <c r="Y11" s="209"/>
      <c r="Z11" s="209"/>
      <c r="AA11" s="209"/>
      <c r="AB11" s="209"/>
      <c r="AC11" s="71"/>
      <c r="AD11" s="71"/>
      <c r="AE11" s="210">
        <f>MIN(D11:AB11)</f>
        <v>3000</v>
      </c>
      <c r="AF11" s="428" t="s">
        <v>624</v>
      </c>
      <c r="AG11" s="429"/>
      <c r="AH11" s="429"/>
      <c r="AI11" s="429"/>
    </row>
    <row r="12" spans="1:35" x14ac:dyDescent="0.2">
      <c r="A12" s="315"/>
      <c r="B12" s="316" t="s">
        <v>102</v>
      </c>
      <c r="C12" s="320" t="s">
        <v>636</v>
      </c>
      <c r="D12" s="209">
        <v>4000</v>
      </c>
      <c r="E12" s="209">
        <v>4000</v>
      </c>
      <c r="F12" s="209">
        <v>4000</v>
      </c>
      <c r="G12" s="209"/>
      <c r="H12" s="209"/>
      <c r="I12" s="209"/>
      <c r="J12" s="209"/>
      <c r="K12" s="209"/>
      <c r="L12" s="209"/>
      <c r="M12" s="209"/>
      <c r="N12" s="209"/>
      <c r="O12" s="209"/>
      <c r="P12" s="209"/>
      <c r="Q12" s="209"/>
      <c r="R12" s="209"/>
      <c r="S12" s="209"/>
      <c r="T12" s="209"/>
      <c r="U12" s="209"/>
      <c r="V12" s="209"/>
      <c r="W12" s="209"/>
      <c r="X12" s="209"/>
      <c r="Y12" s="209"/>
      <c r="Z12" s="209"/>
      <c r="AA12" s="209"/>
      <c r="AB12" s="209"/>
      <c r="AC12" s="71"/>
      <c r="AD12" s="71"/>
      <c r="AE12" s="210">
        <f t="shared" ref="AE12:AE63" si="0">MIN(D12:AB12)</f>
        <v>4000</v>
      </c>
    </row>
    <row r="13" spans="1:35" x14ac:dyDescent="0.2">
      <c r="A13" s="315"/>
      <c r="B13" s="316" t="s">
        <v>102</v>
      </c>
      <c r="C13" s="320" t="s">
        <v>637</v>
      </c>
      <c r="D13" s="209">
        <v>5500</v>
      </c>
      <c r="E13" s="209">
        <v>5500</v>
      </c>
      <c r="F13" s="209">
        <v>5500</v>
      </c>
      <c r="G13" s="209"/>
      <c r="H13" s="209"/>
      <c r="I13" s="209"/>
      <c r="J13" s="209"/>
      <c r="K13" s="209"/>
      <c r="L13" s="209"/>
      <c r="M13" s="209"/>
      <c r="N13" s="209"/>
      <c r="O13" s="209"/>
      <c r="P13" s="209"/>
      <c r="Q13" s="209"/>
      <c r="R13" s="209"/>
      <c r="S13" s="209"/>
      <c r="T13" s="209"/>
      <c r="U13" s="209"/>
      <c r="V13" s="209"/>
      <c r="W13" s="209"/>
      <c r="X13" s="209"/>
      <c r="Y13" s="209"/>
      <c r="Z13" s="209"/>
      <c r="AA13" s="209"/>
      <c r="AB13" s="209"/>
      <c r="AC13" s="71"/>
      <c r="AD13" s="71"/>
      <c r="AE13" s="210">
        <f t="shared" si="0"/>
        <v>5500</v>
      </c>
    </row>
    <row r="14" spans="1:35" x14ac:dyDescent="0.2">
      <c r="A14" s="315"/>
      <c r="B14" s="316" t="s">
        <v>102</v>
      </c>
      <c r="C14" s="320" t="s">
        <v>638</v>
      </c>
      <c r="D14" s="209">
        <v>4000</v>
      </c>
      <c r="E14" s="209">
        <v>4000</v>
      </c>
      <c r="F14" s="209">
        <v>4000</v>
      </c>
      <c r="G14" s="209"/>
      <c r="H14" s="209"/>
      <c r="I14" s="209"/>
      <c r="J14" s="209"/>
      <c r="K14" s="209"/>
      <c r="L14" s="209"/>
      <c r="M14" s="209"/>
      <c r="N14" s="209"/>
      <c r="O14" s="209"/>
      <c r="P14" s="209"/>
      <c r="Q14" s="209"/>
      <c r="R14" s="209"/>
      <c r="S14" s="209"/>
      <c r="T14" s="209"/>
      <c r="U14" s="209"/>
      <c r="V14" s="209"/>
      <c r="W14" s="209"/>
      <c r="X14" s="209"/>
      <c r="Y14" s="209"/>
      <c r="Z14" s="209"/>
      <c r="AA14" s="209"/>
      <c r="AB14" s="209"/>
      <c r="AC14" s="71"/>
      <c r="AD14" s="71"/>
      <c r="AE14" s="210">
        <f t="shared" si="0"/>
        <v>4000</v>
      </c>
    </row>
    <row r="15" spans="1:35" x14ac:dyDescent="0.2">
      <c r="A15" s="315"/>
      <c r="B15" s="316" t="s">
        <v>22</v>
      </c>
      <c r="C15" s="320" t="s">
        <v>639</v>
      </c>
      <c r="D15" s="209">
        <v>6500</v>
      </c>
      <c r="E15" s="209">
        <v>5500</v>
      </c>
      <c r="F15" s="209">
        <v>5500</v>
      </c>
      <c r="G15" s="209"/>
      <c r="H15" s="209"/>
      <c r="I15" s="209"/>
      <c r="J15" s="209"/>
      <c r="K15" s="209"/>
      <c r="L15" s="209"/>
      <c r="M15" s="209"/>
      <c r="N15" s="209"/>
      <c r="O15" s="209"/>
      <c r="P15" s="209"/>
      <c r="Q15" s="209"/>
      <c r="R15" s="209"/>
      <c r="S15" s="209"/>
      <c r="T15" s="209"/>
      <c r="U15" s="209"/>
      <c r="V15" s="209"/>
      <c r="W15" s="209"/>
      <c r="X15" s="209"/>
      <c r="Y15" s="209"/>
      <c r="Z15" s="209"/>
      <c r="AA15" s="209"/>
      <c r="AB15" s="209"/>
      <c r="AC15" s="71"/>
      <c r="AD15" s="71"/>
      <c r="AE15" s="210">
        <f t="shared" si="0"/>
        <v>5500</v>
      </c>
    </row>
    <row r="16" spans="1:35" x14ac:dyDescent="0.2">
      <c r="A16" s="315"/>
      <c r="B16" s="316" t="s">
        <v>22</v>
      </c>
      <c r="C16" s="320" t="s">
        <v>640</v>
      </c>
      <c r="D16" s="209">
        <v>5000</v>
      </c>
      <c r="E16" s="209">
        <v>5000</v>
      </c>
      <c r="F16" s="209">
        <v>5000</v>
      </c>
      <c r="G16" s="209"/>
      <c r="H16" s="209"/>
      <c r="I16" s="209"/>
      <c r="J16" s="209"/>
      <c r="K16" s="209"/>
      <c r="L16" s="209"/>
      <c r="M16" s="209"/>
      <c r="N16" s="209"/>
      <c r="O16" s="209"/>
      <c r="P16" s="209"/>
      <c r="Q16" s="209"/>
      <c r="R16" s="209"/>
      <c r="S16" s="209"/>
      <c r="T16" s="209"/>
      <c r="U16" s="209"/>
      <c r="V16" s="209"/>
      <c r="W16" s="209"/>
      <c r="X16" s="209"/>
      <c r="Y16" s="209"/>
      <c r="Z16" s="209"/>
      <c r="AA16" s="209"/>
      <c r="AB16" s="209"/>
      <c r="AC16" s="71"/>
      <c r="AD16" s="71"/>
      <c r="AE16" s="210">
        <f t="shared" si="0"/>
        <v>5000</v>
      </c>
    </row>
    <row r="17" spans="1:31" x14ac:dyDescent="0.2">
      <c r="A17" s="315"/>
      <c r="B17" s="316" t="s">
        <v>22</v>
      </c>
      <c r="C17" s="320" t="s">
        <v>641</v>
      </c>
      <c r="D17" s="209">
        <v>6000</v>
      </c>
      <c r="E17" s="209">
        <v>3000</v>
      </c>
      <c r="F17" s="209">
        <v>3000</v>
      </c>
      <c r="G17" s="209"/>
      <c r="H17" s="209"/>
      <c r="I17" s="209"/>
      <c r="J17" s="209"/>
      <c r="K17" s="209"/>
      <c r="L17" s="209"/>
      <c r="M17" s="209"/>
      <c r="N17" s="209"/>
      <c r="O17" s="209"/>
      <c r="P17" s="209"/>
      <c r="Q17" s="209"/>
      <c r="R17" s="209"/>
      <c r="S17" s="209"/>
      <c r="T17" s="209"/>
      <c r="U17" s="209"/>
      <c r="V17" s="209"/>
      <c r="W17" s="209"/>
      <c r="X17" s="209"/>
      <c r="Y17" s="209"/>
      <c r="Z17" s="209"/>
      <c r="AA17" s="209"/>
      <c r="AB17" s="209"/>
      <c r="AC17" s="71"/>
      <c r="AD17" s="71"/>
      <c r="AE17" s="210">
        <f t="shared" si="0"/>
        <v>3000</v>
      </c>
    </row>
    <row r="18" spans="1:31" x14ac:dyDescent="0.2">
      <c r="A18" s="315"/>
      <c r="B18" s="316" t="s">
        <v>103</v>
      </c>
      <c r="C18" s="320" t="s">
        <v>642</v>
      </c>
      <c r="D18" s="209">
        <v>2000</v>
      </c>
      <c r="E18" s="209">
        <v>2000</v>
      </c>
      <c r="F18" s="209">
        <v>2000</v>
      </c>
      <c r="G18" s="209"/>
      <c r="H18" s="209"/>
      <c r="I18" s="209"/>
      <c r="J18" s="209"/>
      <c r="K18" s="209"/>
      <c r="L18" s="209"/>
      <c r="M18" s="209"/>
      <c r="N18" s="209"/>
      <c r="O18" s="209"/>
      <c r="P18" s="209"/>
      <c r="Q18" s="209"/>
      <c r="R18" s="209"/>
      <c r="S18" s="209"/>
      <c r="T18" s="209"/>
      <c r="U18" s="209"/>
      <c r="V18" s="209"/>
      <c r="W18" s="209"/>
      <c r="X18" s="209"/>
      <c r="Y18" s="209"/>
      <c r="Z18" s="209"/>
      <c r="AA18" s="209"/>
      <c r="AB18" s="209"/>
      <c r="AC18" s="71"/>
      <c r="AD18" s="71"/>
      <c r="AE18" s="210">
        <f t="shared" si="0"/>
        <v>2000</v>
      </c>
    </row>
    <row r="19" spans="1:31" x14ac:dyDescent="0.2">
      <c r="A19" s="315"/>
      <c r="B19" s="316" t="s">
        <v>103</v>
      </c>
      <c r="C19" s="320" t="s">
        <v>643</v>
      </c>
      <c r="D19" s="209">
        <v>3000</v>
      </c>
      <c r="E19" s="209">
        <v>3000</v>
      </c>
      <c r="F19" s="209">
        <v>3000</v>
      </c>
      <c r="G19" s="209"/>
      <c r="H19" s="209"/>
      <c r="I19" s="209"/>
      <c r="J19" s="209"/>
      <c r="K19" s="209"/>
      <c r="L19" s="209"/>
      <c r="M19" s="209"/>
      <c r="N19" s="209"/>
      <c r="O19" s="209"/>
      <c r="P19" s="209"/>
      <c r="Q19" s="209"/>
      <c r="R19" s="209"/>
      <c r="S19" s="209"/>
      <c r="T19" s="209"/>
      <c r="U19" s="209"/>
      <c r="V19" s="209"/>
      <c r="W19" s="209"/>
      <c r="X19" s="209"/>
      <c r="Y19" s="209"/>
      <c r="Z19" s="209"/>
      <c r="AA19" s="209"/>
      <c r="AB19" s="209"/>
      <c r="AC19" s="71"/>
      <c r="AD19" s="71"/>
      <c r="AE19" s="210">
        <f t="shared" si="0"/>
        <v>3000</v>
      </c>
    </row>
    <row r="20" spans="1:31" x14ac:dyDescent="0.2">
      <c r="A20" s="315"/>
      <c r="B20" s="316" t="s">
        <v>103</v>
      </c>
      <c r="C20" s="320" t="s">
        <v>644</v>
      </c>
      <c r="D20" s="209">
        <v>10000</v>
      </c>
      <c r="E20" s="209">
        <v>10000</v>
      </c>
      <c r="F20" s="209">
        <v>10000</v>
      </c>
      <c r="G20" s="209"/>
      <c r="H20" s="209"/>
      <c r="I20" s="209"/>
      <c r="J20" s="209"/>
      <c r="K20" s="209"/>
      <c r="L20" s="209"/>
      <c r="M20" s="208"/>
      <c r="N20" s="208"/>
      <c r="O20" s="208"/>
      <c r="P20" s="208"/>
      <c r="Q20" s="208"/>
      <c r="R20" s="208"/>
      <c r="S20" s="208"/>
      <c r="T20" s="208"/>
      <c r="U20" s="208"/>
      <c r="V20" s="208"/>
      <c r="W20" s="208"/>
      <c r="X20" s="208"/>
      <c r="Y20" s="208"/>
      <c r="Z20" s="208"/>
      <c r="AA20" s="208"/>
      <c r="AB20" s="208"/>
      <c r="AD20" s="71"/>
      <c r="AE20" s="210">
        <f t="shared" si="0"/>
        <v>10000</v>
      </c>
    </row>
    <row r="21" spans="1:31" x14ac:dyDescent="0.2">
      <c r="A21" s="315"/>
      <c r="B21" s="316" t="s">
        <v>23</v>
      </c>
      <c r="C21" s="320" t="s">
        <v>645</v>
      </c>
      <c r="D21" s="209">
        <v>6000</v>
      </c>
      <c r="E21" s="209">
        <v>6000</v>
      </c>
      <c r="F21" s="209">
        <v>6000</v>
      </c>
      <c r="G21" s="209"/>
      <c r="H21" s="209"/>
      <c r="I21" s="209"/>
      <c r="J21" s="209"/>
      <c r="K21" s="209"/>
      <c r="L21" s="209"/>
      <c r="M21" s="208"/>
      <c r="N21" s="208"/>
      <c r="O21" s="361"/>
      <c r="P21" s="361"/>
      <c r="Q21" s="208"/>
      <c r="R21" s="208"/>
      <c r="S21" s="208"/>
      <c r="T21" s="208"/>
      <c r="U21" s="208"/>
      <c r="V21" s="208"/>
      <c r="W21" s="208"/>
      <c r="X21" s="208"/>
      <c r="Y21" s="208"/>
      <c r="Z21" s="208"/>
      <c r="AA21" s="208"/>
      <c r="AB21" s="208"/>
      <c r="AD21" s="71"/>
      <c r="AE21" s="210">
        <f t="shared" si="0"/>
        <v>6000</v>
      </c>
    </row>
    <row r="22" spans="1:31" x14ac:dyDescent="0.2">
      <c r="A22" s="315"/>
      <c r="B22" s="316" t="s">
        <v>23</v>
      </c>
      <c r="C22" s="320" t="s">
        <v>681</v>
      </c>
      <c r="D22" s="209">
        <v>800</v>
      </c>
      <c r="E22" s="209">
        <v>800</v>
      </c>
      <c r="F22" s="209">
        <v>800</v>
      </c>
      <c r="G22" s="209"/>
      <c r="H22" s="209"/>
      <c r="I22" s="209"/>
      <c r="J22" s="209"/>
      <c r="K22" s="209"/>
      <c r="L22" s="209"/>
      <c r="M22" s="208"/>
      <c r="N22" s="208"/>
      <c r="O22" s="208"/>
      <c r="P22" s="208"/>
      <c r="Q22" s="208"/>
      <c r="R22" s="208"/>
      <c r="S22" s="208"/>
      <c r="T22" s="208"/>
      <c r="U22" s="208"/>
      <c r="V22" s="208"/>
      <c r="W22" s="208"/>
      <c r="X22" s="208"/>
      <c r="Y22" s="208"/>
      <c r="Z22" s="208"/>
      <c r="AA22" s="208"/>
      <c r="AB22" s="208"/>
      <c r="AD22" s="71"/>
      <c r="AE22" s="210">
        <f t="shared" si="0"/>
        <v>800</v>
      </c>
    </row>
    <row r="23" spans="1:31" x14ac:dyDescent="0.2">
      <c r="A23" s="315"/>
      <c r="B23" s="316" t="s">
        <v>23</v>
      </c>
      <c r="C23" s="320" t="s">
        <v>646</v>
      </c>
      <c r="D23" s="209">
        <v>6000</v>
      </c>
      <c r="E23" s="209">
        <v>1000</v>
      </c>
      <c r="F23" s="209">
        <v>1000</v>
      </c>
      <c r="G23" s="209"/>
      <c r="H23" s="209"/>
      <c r="I23" s="209"/>
      <c r="J23" s="209"/>
      <c r="K23" s="209"/>
      <c r="L23" s="209"/>
      <c r="M23" s="209"/>
      <c r="N23" s="209"/>
      <c r="O23" s="209"/>
      <c r="P23" s="209"/>
      <c r="Q23" s="209"/>
      <c r="R23" s="209"/>
      <c r="S23" s="209"/>
      <c r="T23" s="209"/>
      <c r="U23" s="209"/>
      <c r="V23" s="209"/>
      <c r="W23" s="209"/>
      <c r="X23" s="209"/>
      <c r="Y23" s="209"/>
      <c r="Z23" s="209"/>
      <c r="AA23" s="209"/>
      <c r="AB23" s="209"/>
      <c r="AC23" s="71"/>
      <c r="AD23" s="71"/>
      <c r="AE23" s="210">
        <f t="shared" si="0"/>
        <v>1000</v>
      </c>
    </row>
    <row r="24" spans="1:31" x14ac:dyDescent="0.2">
      <c r="A24" s="315"/>
      <c r="B24" s="316" t="s">
        <v>104</v>
      </c>
      <c r="C24" s="320" t="s">
        <v>647</v>
      </c>
      <c r="D24" s="209">
        <v>8500</v>
      </c>
      <c r="E24" s="209">
        <v>5500</v>
      </c>
      <c r="F24" s="209">
        <v>5500</v>
      </c>
      <c r="G24" s="209"/>
      <c r="H24" s="209"/>
      <c r="I24" s="209"/>
      <c r="J24" s="209"/>
      <c r="K24" s="209"/>
      <c r="L24" s="209"/>
      <c r="M24" s="209"/>
      <c r="N24" s="209"/>
      <c r="O24" s="209"/>
      <c r="P24" s="209"/>
      <c r="Q24" s="209"/>
      <c r="R24" s="209"/>
      <c r="S24" s="209"/>
      <c r="T24" s="209"/>
      <c r="U24" s="209"/>
      <c r="V24" s="209"/>
      <c r="W24" s="209"/>
      <c r="X24" s="209"/>
      <c r="Y24" s="209"/>
      <c r="Z24" s="209"/>
      <c r="AA24" s="209"/>
      <c r="AB24" s="209"/>
      <c r="AC24" s="71"/>
      <c r="AD24" s="71"/>
      <c r="AE24" s="210">
        <f t="shared" si="0"/>
        <v>5500</v>
      </c>
    </row>
    <row r="25" spans="1:31" x14ac:dyDescent="0.2">
      <c r="A25" s="315"/>
      <c r="B25" s="316" t="s">
        <v>104</v>
      </c>
      <c r="C25" s="320" t="s">
        <v>648</v>
      </c>
      <c r="D25" s="209">
        <v>8000</v>
      </c>
      <c r="E25" s="209">
        <v>8000</v>
      </c>
      <c r="F25" s="209">
        <v>8000</v>
      </c>
      <c r="G25" s="209"/>
      <c r="H25" s="209"/>
      <c r="I25" s="209"/>
      <c r="J25" s="209"/>
      <c r="K25" s="209"/>
      <c r="L25" s="209"/>
      <c r="M25" s="209"/>
      <c r="N25" s="209"/>
      <c r="O25" s="209"/>
      <c r="P25" s="209"/>
      <c r="Q25" s="209"/>
      <c r="R25" s="209"/>
      <c r="S25" s="209"/>
      <c r="T25" s="209"/>
      <c r="U25" s="209"/>
      <c r="V25" s="209"/>
      <c r="W25" s="209"/>
      <c r="X25" s="209"/>
      <c r="Y25" s="209"/>
      <c r="Z25" s="209"/>
      <c r="AA25" s="209"/>
      <c r="AB25" s="209"/>
      <c r="AC25" s="71"/>
      <c r="AD25" s="71"/>
      <c r="AE25" s="210">
        <f t="shared" si="0"/>
        <v>8000</v>
      </c>
    </row>
    <row r="26" spans="1:31" x14ac:dyDescent="0.2">
      <c r="A26" s="315"/>
      <c r="B26" s="316" t="s">
        <v>104</v>
      </c>
      <c r="C26" s="320" t="s">
        <v>649</v>
      </c>
      <c r="D26" s="209">
        <v>5000</v>
      </c>
      <c r="E26" s="209">
        <v>5000</v>
      </c>
      <c r="F26" s="209">
        <v>5000</v>
      </c>
      <c r="G26" s="209"/>
      <c r="H26" s="209"/>
      <c r="I26" s="209"/>
      <c r="J26" s="209"/>
      <c r="K26" s="209"/>
      <c r="L26" s="209"/>
      <c r="M26" s="209"/>
      <c r="N26" s="209"/>
      <c r="O26" s="209"/>
      <c r="P26" s="209"/>
      <c r="Q26" s="209"/>
      <c r="R26" s="209"/>
      <c r="S26" s="209"/>
      <c r="T26" s="209"/>
      <c r="U26" s="209"/>
      <c r="V26" s="209"/>
      <c r="W26" s="209"/>
      <c r="X26" s="209"/>
      <c r="Y26" s="209"/>
      <c r="Z26" s="209"/>
      <c r="AA26" s="209"/>
      <c r="AB26" s="209"/>
      <c r="AC26" s="71"/>
      <c r="AD26" s="71"/>
      <c r="AE26" s="210">
        <f t="shared" si="0"/>
        <v>5000</v>
      </c>
    </row>
    <row r="27" spans="1:31" x14ac:dyDescent="0.2">
      <c r="A27" s="315"/>
      <c r="B27" s="316" t="s">
        <v>104</v>
      </c>
      <c r="C27" s="320" t="s">
        <v>650</v>
      </c>
      <c r="D27" s="209">
        <v>5000</v>
      </c>
      <c r="E27" s="209">
        <v>5000</v>
      </c>
      <c r="F27" s="209">
        <v>5000</v>
      </c>
      <c r="G27" s="209"/>
      <c r="H27" s="209"/>
      <c r="I27" s="209"/>
      <c r="J27" s="209"/>
      <c r="K27" s="209"/>
      <c r="L27" s="209"/>
      <c r="M27" s="209"/>
      <c r="N27" s="209"/>
      <c r="O27" s="209"/>
      <c r="P27" s="209"/>
      <c r="Q27" s="209"/>
      <c r="R27" s="209"/>
      <c r="S27" s="209"/>
      <c r="T27" s="209"/>
      <c r="U27" s="209"/>
      <c r="V27" s="208"/>
      <c r="W27" s="209"/>
      <c r="X27" s="209"/>
      <c r="Y27" s="209"/>
      <c r="Z27" s="209"/>
      <c r="AA27" s="209"/>
      <c r="AB27" s="209"/>
      <c r="AC27" s="71"/>
      <c r="AD27" s="71"/>
      <c r="AE27" s="210">
        <f t="shared" si="0"/>
        <v>5000</v>
      </c>
    </row>
    <row r="28" spans="1:31" x14ac:dyDescent="0.2">
      <c r="A28" s="315"/>
      <c r="B28" s="316" t="s">
        <v>104</v>
      </c>
      <c r="C28" s="320" t="s">
        <v>651</v>
      </c>
      <c r="D28" s="209">
        <v>4500</v>
      </c>
      <c r="E28" s="209">
        <v>4500</v>
      </c>
      <c r="F28" s="209">
        <v>4500</v>
      </c>
      <c r="G28" s="209"/>
      <c r="H28" s="209"/>
      <c r="I28" s="209"/>
      <c r="J28" s="209"/>
      <c r="K28" s="209"/>
      <c r="L28" s="209"/>
      <c r="M28" s="209"/>
      <c r="N28" s="209"/>
      <c r="O28" s="209"/>
      <c r="P28" s="209"/>
      <c r="Q28" s="209"/>
      <c r="R28" s="209"/>
      <c r="S28" s="209"/>
      <c r="T28" s="209"/>
      <c r="U28" s="209"/>
      <c r="V28" s="209"/>
      <c r="W28" s="209"/>
      <c r="X28" s="209"/>
      <c r="Y28" s="209"/>
      <c r="Z28" s="209"/>
      <c r="AA28" s="209"/>
      <c r="AB28" s="209"/>
      <c r="AC28" s="71"/>
      <c r="AD28" s="71"/>
      <c r="AE28" s="210">
        <f t="shared" si="0"/>
        <v>4500</v>
      </c>
    </row>
    <row r="29" spans="1:31" x14ac:dyDescent="0.2">
      <c r="A29" s="315"/>
      <c r="B29" s="316" t="s">
        <v>24</v>
      </c>
      <c r="C29" s="320" t="s">
        <v>652</v>
      </c>
      <c r="D29" s="209">
        <v>3000</v>
      </c>
      <c r="E29" s="209">
        <v>3000</v>
      </c>
      <c r="F29" s="209">
        <v>3000</v>
      </c>
      <c r="G29" s="209"/>
      <c r="H29" s="209"/>
      <c r="I29" s="209"/>
      <c r="J29" s="209"/>
      <c r="K29" s="209"/>
      <c r="L29" s="209"/>
      <c r="M29" s="209"/>
      <c r="N29" s="209"/>
      <c r="O29" s="209"/>
      <c r="P29" s="209"/>
      <c r="Q29" s="209"/>
      <c r="R29" s="209"/>
      <c r="S29" s="209"/>
      <c r="T29" s="209"/>
      <c r="U29" s="209"/>
      <c r="V29" s="209"/>
      <c r="W29" s="209"/>
      <c r="X29" s="209"/>
      <c r="Y29" s="209"/>
      <c r="Z29" s="209"/>
      <c r="AA29" s="209"/>
      <c r="AB29" s="209"/>
      <c r="AC29" s="71"/>
      <c r="AD29" s="71"/>
      <c r="AE29" s="210">
        <f t="shared" si="0"/>
        <v>3000</v>
      </c>
    </row>
    <row r="30" spans="1:31" x14ac:dyDescent="0.2">
      <c r="A30" s="315"/>
      <c r="B30" s="316" t="s">
        <v>24</v>
      </c>
      <c r="C30" s="320" t="s">
        <v>653</v>
      </c>
      <c r="D30" s="209">
        <v>1500</v>
      </c>
      <c r="E30" s="209">
        <v>1500</v>
      </c>
      <c r="F30" s="209">
        <v>1500</v>
      </c>
      <c r="G30" s="209"/>
      <c r="H30" s="209"/>
      <c r="I30" s="209"/>
      <c r="J30" s="209"/>
      <c r="K30" s="209"/>
      <c r="L30" s="209"/>
      <c r="M30" s="209"/>
      <c r="N30" s="209"/>
      <c r="O30" s="209"/>
      <c r="P30" s="209"/>
      <c r="Q30" s="209"/>
      <c r="R30" s="209"/>
      <c r="S30" s="209"/>
      <c r="T30" s="209"/>
      <c r="U30" s="209"/>
      <c r="V30" s="209"/>
      <c r="W30" s="209"/>
      <c r="X30" s="209"/>
      <c r="Y30" s="209"/>
      <c r="Z30" s="209"/>
      <c r="AA30" s="209"/>
      <c r="AB30" s="209"/>
      <c r="AC30" s="71"/>
      <c r="AD30" s="71"/>
      <c r="AE30" s="210">
        <f t="shared" si="0"/>
        <v>1500</v>
      </c>
    </row>
    <row r="31" spans="1:31" x14ac:dyDescent="0.2">
      <c r="A31" s="315"/>
      <c r="B31" s="316" t="s">
        <v>24</v>
      </c>
      <c r="C31" s="320" t="s">
        <v>654</v>
      </c>
      <c r="D31" s="209">
        <v>6000</v>
      </c>
      <c r="E31" s="209">
        <v>6000</v>
      </c>
      <c r="F31" s="209">
        <v>6000</v>
      </c>
      <c r="G31" s="209"/>
      <c r="H31" s="209"/>
      <c r="I31" s="209"/>
      <c r="J31" s="209"/>
      <c r="K31" s="209"/>
      <c r="L31" s="209"/>
      <c r="M31" s="209"/>
      <c r="N31" s="209"/>
      <c r="O31" s="209"/>
      <c r="P31" s="209"/>
      <c r="Q31" s="209"/>
      <c r="R31" s="209"/>
      <c r="S31" s="209"/>
      <c r="T31" s="209"/>
      <c r="U31" s="209"/>
      <c r="V31" s="209"/>
      <c r="W31" s="209"/>
      <c r="X31" s="209"/>
      <c r="Y31" s="209"/>
      <c r="Z31" s="209"/>
      <c r="AA31" s="209"/>
      <c r="AB31" s="209"/>
      <c r="AC31" s="71"/>
      <c r="AD31" s="71"/>
      <c r="AE31" s="210">
        <f t="shared" si="0"/>
        <v>6000</v>
      </c>
    </row>
    <row r="32" spans="1:31" x14ac:dyDescent="0.2">
      <c r="A32" s="315"/>
      <c r="B32" s="316" t="s">
        <v>25</v>
      </c>
      <c r="C32" s="320" t="s">
        <v>25</v>
      </c>
      <c r="D32" s="209">
        <v>12000</v>
      </c>
      <c r="E32" s="209">
        <v>12000</v>
      </c>
      <c r="F32" s="209">
        <v>12000</v>
      </c>
      <c r="G32" s="209"/>
      <c r="H32" s="209"/>
      <c r="I32" s="209"/>
      <c r="J32" s="209"/>
      <c r="K32" s="209"/>
      <c r="L32" s="209"/>
      <c r="M32" s="209"/>
      <c r="N32" s="209"/>
      <c r="O32" s="209"/>
      <c r="P32" s="209"/>
      <c r="Q32" s="209"/>
      <c r="R32" s="209"/>
      <c r="S32" s="209"/>
      <c r="T32" s="209"/>
      <c r="U32" s="209"/>
      <c r="V32" s="209"/>
      <c r="W32" s="209"/>
      <c r="X32" s="209"/>
      <c r="Y32" s="209"/>
      <c r="Z32" s="209"/>
      <c r="AA32" s="209"/>
      <c r="AB32" s="209"/>
      <c r="AC32" s="71"/>
      <c r="AD32" s="71"/>
      <c r="AE32" s="210">
        <f t="shared" si="0"/>
        <v>12000</v>
      </c>
    </row>
    <row r="33" spans="1:31" x14ac:dyDescent="0.2">
      <c r="A33" s="315"/>
      <c r="B33" s="316" t="s">
        <v>25</v>
      </c>
      <c r="C33" s="320" t="s">
        <v>25</v>
      </c>
      <c r="D33" s="209">
        <v>12000</v>
      </c>
      <c r="E33" s="209">
        <v>12000</v>
      </c>
      <c r="F33" s="209">
        <v>12000</v>
      </c>
      <c r="G33" s="209"/>
      <c r="H33" s="209"/>
      <c r="I33" s="209"/>
      <c r="J33" s="209"/>
      <c r="K33" s="209"/>
      <c r="L33" s="209"/>
      <c r="M33" s="209"/>
      <c r="N33" s="209"/>
      <c r="O33" s="209"/>
      <c r="P33" s="209"/>
      <c r="Q33" s="209"/>
      <c r="R33" s="209"/>
      <c r="S33" s="209"/>
      <c r="T33" s="209"/>
      <c r="U33" s="209"/>
      <c r="V33" s="209"/>
      <c r="W33" s="209"/>
      <c r="X33" s="209"/>
      <c r="Y33" s="209"/>
      <c r="Z33" s="209"/>
      <c r="AA33" s="209"/>
      <c r="AB33" s="209"/>
      <c r="AC33" s="71"/>
      <c r="AD33" s="71"/>
      <c r="AE33" s="210">
        <f t="shared" si="0"/>
        <v>12000</v>
      </c>
    </row>
    <row r="34" spans="1:31" x14ac:dyDescent="0.2">
      <c r="A34" s="315"/>
      <c r="B34" s="316" t="s">
        <v>25</v>
      </c>
      <c r="C34" s="320" t="s">
        <v>25</v>
      </c>
      <c r="D34" s="209">
        <v>12000</v>
      </c>
      <c r="E34" s="209">
        <v>12000</v>
      </c>
      <c r="F34" s="209">
        <v>12000</v>
      </c>
      <c r="G34" s="209"/>
      <c r="H34" s="209"/>
      <c r="I34" s="209"/>
      <c r="J34" s="209"/>
      <c r="K34" s="209"/>
      <c r="L34" s="209"/>
      <c r="M34" s="209"/>
      <c r="N34" s="209"/>
      <c r="O34" s="209"/>
      <c r="P34" s="208"/>
      <c r="Q34" s="209"/>
      <c r="R34" s="209"/>
      <c r="S34" s="209"/>
      <c r="T34" s="209"/>
      <c r="U34" s="209"/>
      <c r="V34" s="209"/>
      <c r="W34" s="209"/>
      <c r="X34" s="209"/>
      <c r="Y34" s="209"/>
      <c r="Z34" s="209"/>
      <c r="AA34" s="209"/>
      <c r="AB34" s="209"/>
      <c r="AC34" s="71"/>
      <c r="AD34" s="71"/>
      <c r="AE34" s="210">
        <f t="shared" si="0"/>
        <v>12000</v>
      </c>
    </row>
    <row r="35" spans="1:31" x14ac:dyDescent="0.2">
      <c r="A35" s="315"/>
      <c r="B35" s="316" t="s">
        <v>163</v>
      </c>
      <c r="C35" s="320" t="s">
        <v>655</v>
      </c>
      <c r="D35" s="209">
        <v>35000</v>
      </c>
      <c r="E35" s="209">
        <v>35000</v>
      </c>
      <c r="F35" s="209">
        <v>35000</v>
      </c>
      <c r="G35" s="209"/>
      <c r="H35" s="209"/>
      <c r="I35" s="209"/>
      <c r="J35" s="209"/>
      <c r="K35" s="209"/>
      <c r="L35" s="209"/>
      <c r="M35" s="209"/>
      <c r="N35" s="209"/>
      <c r="O35" s="209"/>
      <c r="P35" s="208"/>
      <c r="Q35" s="209"/>
      <c r="R35" s="209"/>
      <c r="S35" s="209"/>
      <c r="T35" s="209"/>
      <c r="U35" s="209"/>
      <c r="V35" s="209"/>
      <c r="W35" s="209"/>
      <c r="X35" s="209"/>
      <c r="Y35" s="209"/>
      <c r="Z35" s="209"/>
      <c r="AA35" s="209"/>
      <c r="AB35" s="209"/>
      <c r="AC35" s="71"/>
      <c r="AD35" s="71"/>
      <c r="AE35" s="210">
        <f t="shared" si="0"/>
        <v>35000</v>
      </c>
    </row>
    <row r="36" spans="1:31" x14ac:dyDescent="0.2">
      <c r="A36" s="315"/>
      <c r="B36" s="316" t="s">
        <v>163</v>
      </c>
      <c r="C36" s="320" t="s">
        <v>656</v>
      </c>
      <c r="D36" s="209">
        <v>19000</v>
      </c>
      <c r="E36" s="209">
        <v>19000</v>
      </c>
      <c r="F36" s="209">
        <v>19000</v>
      </c>
      <c r="G36" s="209"/>
      <c r="H36" s="209"/>
      <c r="I36" s="209"/>
      <c r="J36" s="209"/>
      <c r="K36" s="209"/>
      <c r="L36" s="209"/>
      <c r="M36" s="209"/>
      <c r="N36" s="209"/>
      <c r="O36" s="209"/>
      <c r="P36" s="209"/>
      <c r="Q36" s="209"/>
      <c r="R36" s="209"/>
      <c r="S36" s="209"/>
      <c r="T36" s="209"/>
      <c r="U36" s="209"/>
      <c r="V36" s="209"/>
      <c r="W36" s="209"/>
      <c r="X36" s="209"/>
      <c r="Y36" s="209"/>
      <c r="Z36" s="209"/>
      <c r="AA36" s="209"/>
      <c r="AB36" s="209"/>
      <c r="AC36" s="71"/>
      <c r="AD36" s="71"/>
      <c r="AE36" s="210">
        <f t="shared" si="0"/>
        <v>19000</v>
      </c>
    </row>
    <row r="37" spans="1:31" x14ac:dyDescent="0.2">
      <c r="A37" s="315"/>
      <c r="B37" s="316" t="s">
        <v>163</v>
      </c>
      <c r="C37" s="320" t="s">
        <v>657</v>
      </c>
      <c r="D37" s="209">
        <v>30000</v>
      </c>
      <c r="E37" s="209">
        <v>25000</v>
      </c>
      <c r="F37" s="209">
        <v>25000</v>
      </c>
      <c r="G37" s="209"/>
      <c r="H37" s="209"/>
      <c r="I37" s="209"/>
      <c r="J37" s="209"/>
      <c r="K37" s="209"/>
      <c r="L37" s="209"/>
      <c r="M37" s="209"/>
      <c r="N37" s="209"/>
      <c r="O37" s="209"/>
      <c r="P37" s="209"/>
      <c r="Q37" s="209"/>
      <c r="R37" s="209"/>
      <c r="S37" s="209"/>
      <c r="T37" s="209"/>
      <c r="U37" s="209"/>
      <c r="V37" s="209"/>
      <c r="W37" s="209"/>
      <c r="X37" s="209"/>
      <c r="Y37" s="209"/>
      <c r="Z37" s="209"/>
      <c r="AA37" s="209"/>
      <c r="AB37" s="209"/>
      <c r="AC37" s="71"/>
      <c r="AD37" s="71"/>
      <c r="AE37" s="210">
        <f t="shared" si="0"/>
        <v>25000</v>
      </c>
    </row>
    <row r="38" spans="1:31" x14ac:dyDescent="0.2">
      <c r="A38" s="315"/>
      <c r="B38" s="316" t="s">
        <v>162</v>
      </c>
      <c r="C38" s="320" t="s">
        <v>658</v>
      </c>
      <c r="D38" s="209">
        <v>25000</v>
      </c>
      <c r="E38" s="209">
        <v>10000</v>
      </c>
      <c r="F38" s="209">
        <v>10000</v>
      </c>
      <c r="G38" s="209"/>
      <c r="H38" s="209"/>
      <c r="I38" s="209"/>
      <c r="J38" s="209"/>
      <c r="K38" s="209"/>
      <c r="L38" s="209"/>
      <c r="M38" s="209"/>
      <c r="N38" s="209"/>
      <c r="O38" s="209"/>
      <c r="P38" s="209"/>
      <c r="Q38" s="209"/>
      <c r="R38" s="209"/>
      <c r="S38" s="209"/>
      <c r="T38" s="209"/>
      <c r="U38" s="209"/>
      <c r="V38" s="209"/>
      <c r="W38" s="209"/>
      <c r="X38" s="209"/>
      <c r="Y38" s="209"/>
      <c r="Z38" s="209"/>
      <c r="AA38" s="209"/>
      <c r="AB38" s="209"/>
      <c r="AC38" s="71"/>
      <c r="AD38" s="71"/>
      <c r="AE38" s="210">
        <f t="shared" si="0"/>
        <v>10000</v>
      </c>
    </row>
    <row r="39" spans="1:31" x14ac:dyDescent="0.2">
      <c r="A39" s="315"/>
      <c r="B39" s="316" t="s">
        <v>162</v>
      </c>
      <c r="C39" s="320" t="s">
        <v>659</v>
      </c>
      <c r="D39" s="209">
        <v>35000</v>
      </c>
      <c r="E39" s="209">
        <v>35000</v>
      </c>
      <c r="F39" s="209">
        <v>35000</v>
      </c>
      <c r="G39" s="209"/>
      <c r="H39" s="209"/>
      <c r="I39" s="209"/>
      <c r="J39" s="209"/>
      <c r="K39" s="209"/>
      <c r="L39" s="209"/>
      <c r="M39" s="209"/>
      <c r="N39" s="209"/>
      <c r="O39" s="209"/>
      <c r="P39" s="209"/>
      <c r="Q39" s="209"/>
      <c r="R39" s="209"/>
      <c r="S39" s="209"/>
      <c r="T39" s="209"/>
      <c r="U39" s="209"/>
      <c r="V39" s="209"/>
      <c r="W39" s="209"/>
      <c r="X39" s="209"/>
      <c r="Y39" s="209"/>
      <c r="Z39" s="209"/>
      <c r="AA39" s="209"/>
      <c r="AB39" s="209"/>
      <c r="AC39" s="71"/>
      <c r="AD39" s="71"/>
      <c r="AE39" s="210">
        <f t="shared" si="0"/>
        <v>35000</v>
      </c>
    </row>
    <row r="40" spans="1:31" x14ac:dyDescent="0.2">
      <c r="A40" s="315"/>
      <c r="B40" s="316" t="s">
        <v>162</v>
      </c>
      <c r="C40" s="320" t="s">
        <v>660</v>
      </c>
      <c r="D40" s="209">
        <v>1000</v>
      </c>
      <c r="E40" s="209">
        <v>1000</v>
      </c>
      <c r="F40" s="209">
        <v>1000</v>
      </c>
      <c r="G40" s="209"/>
      <c r="H40" s="209"/>
      <c r="I40" s="209"/>
      <c r="J40" s="209"/>
      <c r="K40" s="209"/>
      <c r="L40" s="209"/>
      <c r="M40" s="209"/>
      <c r="N40" s="209"/>
      <c r="O40" s="209"/>
      <c r="P40" s="209"/>
      <c r="Q40" s="209"/>
      <c r="R40" s="209"/>
      <c r="S40" s="209"/>
      <c r="T40" s="209"/>
      <c r="U40" s="209"/>
      <c r="V40" s="209"/>
      <c r="W40" s="209"/>
      <c r="X40" s="209"/>
      <c r="Y40" s="209"/>
      <c r="Z40" s="209"/>
      <c r="AA40" s="209"/>
      <c r="AB40" s="209"/>
      <c r="AC40" s="71"/>
      <c r="AD40" s="71"/>
      <c r="AE40" s="210">
        <f t="shared" si="0"/>
        <v>1000</v>
      </c>
    </row>
    <row r="41" spans="1:31" x14ac:dyDescent="0.2">
      <c r="A41" s="315"/>
      <c r="B41" s="316" t="s">
        <v>162</v>
      </c>
      <c r="C41" s="320" t="s">
        <v>661</v>
      </c>
      <c r="D41" s="209">
        <v>18000</v>
      </c>
      <c r="E41" s="209">
        <v>18000</v>
      </c>
      <c r="F41" s="209">
        <v>18000</v>
      </c>
      <c r="G41" s="209"/>
      <c r="H41" s="209"/>
      <c r="I41" s="209"/>
      <c r="J41" s="209"/>
      <c r="K41" s="209"/>
      <c r="L41" s="209"/>
      <c r="M41" s="209"/>
      <c r="N41" s="209"/>
      <c r="O41" s="209"/>
      <c r="P41" s="209"/>
      <c r="Q41" s="209"/>
      <c r="R41" s="209"/>
      <c r="S41" s="209"/>
      <c r="T41" s="209"/>
      <c r="U41" s="209"/>
      <c r="V41" s="209"/>
      <c r="W41" s="209"/>
      <c r="X41" s="209"/>
      <c r="Y41" s="209"/>
      <c r="Z41" s="209"/>
      <c r="AA41" s="209"/>
      <c r="AB41" s="209"/>
      <c r="AC41" s="71"/>
      <c r="AD41" s="71"/>
      <c r="AE41" s="210">
        <f t="shared" si="0"/>
        <v>18000</v>
      </c>
    </row>
    <row r="42" spans="1:31" x14ac:dyDescent="0.2">
      <c r="A42" s="315"/>
      <c r="B42" s="316" t="s">
        <v>105</v>
      </c>
      <c r="C42" s="320" t="s">
        <v>662</v>
      </c>
      <c r="D42" s="209">
        <v>6000</v>
      </c>
      <c r="E42" s="209">
        <v>2000</v>
      </c>
      <c r="F42" s="209">
        <v>2000</v>
      </c>
      <c r="G42" s="209"/>
      <c r="H42" s="209"/>
      <c r="I42" s="209"/>
      <c r="J42" s="209"/>
      <c r="K42" s="209"/>
      <c r="L42" s="209"/>
      <c r="M42" s="209"/>
      <c r="N42" s="209"/>
      <c r="O42" s="209"/>
      <c r="P42" s="209"/>
      <c r="Q42" s="209"/>
      <c r="R42" s="209"/>
      <c r="S42" s="209"/>
      <c r="T42" s="209"/>
      <c r="U42" s="209"/>
      <c r="V42" s="209"/>
      <c r="W42" s="209"/>
      <c r="X42" s="209"/>
      <c r="Y42" s="209"/>
      <c r="Z42" s="209"/>
      <c r="AA42" s="209"/>
      <c r="AB42" s="209"/>
      <c r="AC42" s="71"/>
      <c r="AD42" s="71"/>
      <c r="AE42" s="210">
        <f t="shared" si="0"/>
        <v>2000</v>
      </c>
    </row>
    <row r="43" spans="1:31" x14ac:dyDescent="0.2">
      <c r="A43" s="315"/>
      <c r="B43" s="316" t="s">
        <v>105</v>
      </c>
      <c r="C43" s="320" t="s">
        <v>663</v>
      </c>
      <c r="D43" s="209">
        <v>6000</v>
      </c>
      <c r="E43" s="209">
        <v>1000</v>
      </c>
      <c r="F43" s="209">
        <v>1000</v>
      </c>
      <c r="G43" s="209"/>
      <c r="H43" s="209"/>
      <c r="I43" s="209"/>
      <c r="J43" s="209"/>
      <c r="K43" s="209"/>
      <c r="L43" s="209"/>
      <c r="M43" s="209"/>
      <c r="N43" s="209"/>
      <c r="O43" s="209"/>
      <c r="P43" s="209"/>
      <c r="Q43" s="209"/>
      <c r="R43" s="209"/>
      <c r="S43" s="209"/>
      <c r="T43" s="209"/>
      <c r="U43" s="209"/>
      <c r="V43" s="209"/>
      <c r="W43" s="209"/>
      <c r="X43" s="209"/>
      <c r="Y43" s="209"/>
      <c r="Z43" s="209"/>
      <c r="AA43" s="209"/>
      <c r="AB43" s="209"/>
      <c r="AC43" s="71"/>
      <c r="AD43" s="71"/>
      <c r="AE43" s="210">
        <f t="shared" si="0"/>
        <v>1000</v>
      </c>
    </row>
    <row r="44" spans="1:31" x14ac:dyDescent="0.2">
      <c r="A44" s="315"/>
      <c r="B44" s="316" t="s">
        <v>105</v>
      </c>
      <c r="C44" s="320" t="s">
        <v>664</v>
      </c>
      <c r="D44" s="209">
        <v>6000</v>
      </c>
      <c r="E44" s="209">
        <v>1000</v>
      </c>
      <c r="F44" s="209">
        <v>1000</v>
      </c>
      <c r="G44" s="209"/>
      <c r="H44" s="209"/>
      <c r="I44" s="209"/>
      <c r="J44" s="209"/>
      <c r="K44" s="209"/>
      <c r="L44" s="209"/>
      <c r="M44" s="209"/>
      <c r="N44" s="209"/>
      <c r="O44" s="209"/>
      <c r="P44" s="209"/>
      <c r="Q44" s="209"/>
      <c r="R44" s="209"/>
      <c r="S44" s="209"/>
      <c r="T44" s="209"/>
      <c r="U44" s="209"/>
      <c r="V44" s="209"/>
      <c r="W44" s="209"/>
      <c r="X44" s="209"/>
      <c r="Y44" s="209"/>
      <c r="Z44" s="209"/>
      <c r="AA44" s="209"/>
      <c r="AB44" s="209"/>
      <c r="AC44" s="71"/>
      <c r="AD44" s="71"/>
      <c r="AE44" s="210">
        <f t="shared" si="0"/>
        <v>1000</v>
      </c>
    </row>
    <row r="45" spans="1:31" x14ac:dyDescent="0.2">
      <c r="A45" s="315"/>
      <c r="B45" s="316" t="s">
        <v>26</v>
      </c>
      <c r="C45" s="320" t="s">
        <v>665</v>
      </c>
      <c r="D45" s="209">
        <v>6000</v>
      </c>
      <c r="E45" s="209">
        <v>1000</v>
      </c>
      <c r="F45" s="209">
        <v>1000</v>
      </c>
      <c r="G45" s="209"/>
      <c r="H45" s="209"/>
      <c r="I45" s="209"/>
      <c r="J45" s="209"/>
      <c r="K45" s="209"/>
      <c r="L45" s="209"/>
      <c r="M45" s="209"/>
      <c r="N45" s="209"/>
      <c r="O45" s="209"/>
      <c r="P45" s="209"/>
      <c r="Q45" s="209"/>
      <c r="R45" s="209"/>
      <c r="S45" s="209"/>
      <c r="T45" s="209"/>
      <c r="U45" s="209"/>
      <c r="V45" s="209"/>
      <c r="W45" s="209"/>
      <c r="X45" s="209"/>
      <c r="Y45" s="209"/>
      <c r="Z45" s="209"/>
      <c r="AA45" s="209"/>
      <c r="AB45" s="209"/>
      <c r="AC45" s="71"/>
      <c r="AD45" s="71"/>
      <c r="AE45" s="210">
        <f t="shared" si="0"/>
        <v>1000</v>
      </c>
    </row>
    <row r="46" spans="1:31" x14ac:dyDescent="0.2">
      <c r="A46" s="315"/>
      <c r="B46" s="316" t="s">
        <v>26</v>
      </c>
      <c r="C46" s="320" t="s">
        <v>666</v>
      </c>
      <c r="D46" s="209">
        <v>6000</v>
      </c>
      <c r="E46" s="209">
        <v>1000</v>
      </c>
      <c r="F46" s="209">
        <v>1000</v>
      </c>
      <c r="G46" s="209"/>
      <c r="H46" s="209"/>
      <c r="I46" s="209"/>
      <c r="J46" s="209"/>
      <c r="K46" s="209"/>
      <c r="L46" s="209"/>
      <c r="M46" s="209"/>
      <c r="N46" s="209"/>
      <c r="O46" s="209"/>
      <c r="P46" s="209"/>
      <c r="Q46" s="209"/>
      <c r="R46" s="209"/>
      <c r="S46" s="209"/>
      <c r="T46" s="209"/>
      <c r="U46" s="209"/>
      <c r="V46" s="209"/>
      <c r="W46" s="209"/>
      <c r="X46" s="209"/>
      <c r="Y46" s="209"/>
      <c r="Z46" s="209"/>
      <c r="AA46" s="209"/>
      <c r="AB46" s="209"/>
      <c r="AC46" s="71"/>
      <c r="AD46" s="71"/>
      <c r="AE46" s="210">
        <f t="shared" si="0"/>
        <v>1000</v>
      </c>
    </row>
    <row r="47" spans="1:31" x14ac:dyDescent="0.2">
      <c r="A47" s="315"/>
      <c r="B47" s="316" t="s">
        <v>26</v>
      </c>
      <c r="C47" s="320" t="s">
        <v>667</v>
      </c>
      <c r="D47" s="209">
        <v>6000</v>
      </c>
      <c r="E47" s="209">
        <v>1000</v>
      </c>
      <c r="F47" s="209">
        <v>1000</v>
      </c>
      <c r="G47" s="209"/>
      <c r="H47" s="209"/>
      <c r="I47" s="209"/>
      <c r="J47" s="209"/>
      <c r="K47" s="209"/>
      <c r="L47" s="209"/>
      <c r="M47" s="209"/>
      <c r="N47" s="209"/>
      <c r="O47" s="209"/>
      <c r="P47" s="209"/>
      <c r="Q47" s="209"/>
      <c r="R47" s="209"/>
      <c r="S47" s="209"/>
      <c r="T47" s="209"/>
      <c r="U47" s="209"/>
      <c r="V47" s="209"/>
      <c r="W47" s="209"/>
      <c r="X47" s="209"/>
      <c r="Y47" s="209"/>
      <c r="Z47" s="209"/>
      <c r="AA47" s="209"/>
      <c r="AB47" s="209"/>
      <c r="AC47" s="71"/>
      <c r="AD47" s="71"/>
      <c r="AE47" s="210">
        <f t="shared" si="0"/>
        <v>1000</v>
      </c>
    </row>
    <row r="48" spans="1:31" x14ac:dyDescent="0.2">
      <c r="A48" s="315"/>
      <c r="B48" s="316" t="s">
        <v>26</v>
      </c>
      <c r="C48" s="320" t="s">
        <v>668</v>
      </c>
      <c r="D48" s="209">
        <v>6000</v>
      </c>
      <c r="E48" s="209">
        <v>2000</v>
      </c>
      <c r="F48" s="209">
        <v>2000</v>
      </c>
      <c r="G48" s="209"/>
      <c r="H48" s="209"/>
      <c r="I48" s="209"/>
      <c r="J48" s="209"/>
      <c r="K48" s="209"/>
      <c r="L48" s="209"/>
      <c r="M48" s="209"/>
      <c r="N48" s="209"/>
      <c r="O48" s="209"/>
      <c r="P48" s="209"/>
      <c r="Q48" s="209"/>
      <c r="R48" s="209"/>
      <c r="S48" s="209"/>
      <c r="T48" s="209"/>
      <c r="U48" s="209"/>
      <c r="V48" s="209"/>
      <c r="W48" s="209"/>
      <c r="X48" s="209"/>
      <c r="Y48" s="209"/>
      <c r="Z48" s="209"/>
      <c r="AA48" s="209"/>
      <c r="AB48" s="209"/>
      <c r="AC48" s="71"/>
      <c r="AD48" s="71"/>
      <c r="AE48" s="210">
        <f t="shared" si="0"/>
        <v>2000</v>
      </c>
    </row>
    <row r="49" spans="1:31" x14ac:dyDescent="0.2">
      <c r="A49" s="315"/>
      <c r="B49" s="316" t="s">
        <v>27</v>
      </c>
      <c r="C49" s="320" t="s">
        <v>669</v>
      </c>
      <c r="D49" s="209">
        <v>8000</v>
      </c>
      <c r="E49" s="209">
        <v>8000</v>
      </c>
      <c r="F49" s="209">
        <v>8000</v>
      </c>
      <c r="G49" s="209"/>
      <c r="H49" s="209"/>
      <c r="I49" s="209"/>
      <c r="J49" s="209"/>
      <c r="K49" s="209"/>
      <c r="L49" s="209"/>
      <c r="M49" s="209"/>
      <c r="N49" s="209"/>
      <c r="O49" s="209"/>
      <c r="P49" s="209"/>
      <c r="Q49" s="209"/>
      <c r="R49" s="209"/>
      <c r="S49" s="209"/>
      <c r="T49" s="209"/>
      <c r="U49" s="209"/>
      <c r="V49" s="209"/>
      <c r="W49" s="209"/>
      <c r="X49" s="209"/>
      <c r="Y49" s="209"/>
      <c r="Z49" s="209"/>
      <c r="AA49" s="209"/>
      <c r="AB49" s="209"/>
      <c r="AC49" s="71"/>
      <c r="AD49" s="71"/>
      <c r="AE49" s="210">
        <f t="shared" si="0"/>
        <v>8000</v>
      </c>
    </row>
    <row r="50" spans="1:31" x14ac:dyDescent="0.2">
      <c r="A50" s="315"/>
      <c r="B50" s="316" t="s">
        <v>27</v>
      </c>
      <c r="C50" s="320" t="s">
        <v>670</v>
      </c>
      <c r="D50" s="209">
        <v>5000</v>
      </c>
      <c r="E50" s="209">
        <v>5000</v>
      </c>
      <c r="F50" s="209">
        <v>5000</v>
      </c>
      <c r="G50" s="209"/>
      <c r="H50" s="209"/>
      <c r="I50" s="209"/>
      <c r="J50" s="209"/>
      <c r="K50" s="209"/>
      <c r="L50" s="209"/>
      <c r="M50" s="209"/>
      <c r="N50" s="209"/>
      <c r="O50" s="209"/>
      <c r="P50" s="209"/>
      <c r="Q50" s="209"/>
      <c r="R50" s="209"/>
      <c r="S50" s="209"/>
      <c r="T50" s="209"/>
      <c r="U50" s="209"/>
      <c r="V50" s="209"/>
      <c r="W50" s="209"/>
      <c r="X50" s="209"/>
      <c r="Y50" s="209"/>
      <c r="Z50" s="209"/>
      <c r="AA50" s="209"/>
      <c r="AB50" s="209"/>
      <c r="AC50" s="71"/>
      <c r="AD50" s="71"/>
      <c r="AE50" s="210">
        <f t="shared" si="0"/>
        <v>5000</v>
      </c>
    </row>
    <row r="51" spans="1:31" x14ac:dyDescent="0.2">
      <c r="A51" s="315"/>
      <c r="B51" s="316" t="s">
        <v>27</v>
      </c>
      <c r="C51" s="320" t="s">
        <v>671</v>
      </c>
      <c r="D51" s="209">
        <v>7000</v>
      </c>
      <c r="E51" s="209">
        <v>7000</v>
      </c>
      <c r="F51" s="209">
        <v>7000</v>
      </c>
      <c r="G51" s="209"/>
      <c r="H51" s="209"/>
      <c r="I51" s="209"/>
      <c r="J51" s="209"/>
      <c r="K51" s="209"/>
      <c r="L51" s="209"/>
      <c r="M51" s="209"/>
      <c r="N51" s="209"/>
      <c r="O51" s="209"/>
      <c r="P51" s="209"/>
      <c r="Q51" s="209"/>
      <c r="R51" s="209"/>
      <c r="S51" s="209"/>
      <c r="T51" s="209"/>
      <c r="U51" s="209"/>
      <c r="V51" s="209"/>
      <c r="W51" s="209"/>
      <c r="X51" s="209"/>
      <c r="Y51" s="209"/>
      <c r="Z51" s="209"/>
      <c r="AA51" s="209"/>
      <c r="AB51" s="209"/>
      <c r="AC51" s="71"/>
      <c r="AD51" s="71"/>
      <c r="AE51" s="210">
        <f t="shared" si="0"/>
        <v>7000</v>
      </c>
    </row>
    <row r="52" spans="1:31" x14ac:dyDescent="0.2">
      <c r="A52" s="315"/>
      <c r="B52" s="316" t="s">
        <v>27</v>
      </c>
      <c r="C52" s="320" t="s">
        <v>672</v>
      </c>
      <c r="D52" s="209">
        <v>4000</v>
      </c>
      <c r="E52" s="209">
        <v>4000</v>
      </c>
      <c r="F52" s="209">
        <v>4000</v>
      </c>
      <c r="G52" s="209"/>
      <c r="H52" s="209"/>
      <c r="I52" s="209"/>
      <c r="J52" s="209"/>
      <c r="K52" s="209"/>
      <c r="L52" s="209"/>
      <c r="M52" s="209"/>
      <c r="N52" s="209"/>
      <c r="O52" s="209"/>
      <c r="P52" s="209"/>
      <c r="Q52" s="209"/>
      <c r="R52" s="209"/>
      <c r="S52" s="209"/>
      <c r="T52" s="209"/>
      <c r="U52" s="209"/>
      <c r="V52" s="209"/>
      <c r="W52" s="209"/>
      <c r="X52" s="209"/>
      <c r="Y52" s="209"/>
      <c r="Z52" s="209"/>
      <c r="AA52" s="209"/>
      <c r="AB52" s="209"/>
      <c r="AC52" s="71"/>
      <c r="AD52" s="71"/>
      <c r="AE52" s="210">
        <f t="shared" si="0"/>
        <v>4000</v>
      </c>
    </row>
    <row r="53" spans="1:31" x14ac:dyDescent="0.2">
      <c r="A53" s="315"/>
      <c r="B53" s="316" t="s">
        <v>106</v>
      </c>
      <c r="C53" s="320" t="s">
        <v>673</v>
      </c>
      <c r="D53" s="209">
        <v>10000</v>
      </c>
      <c r="E53" s="209">
        <v>10000</v>
      </c>
      <c r="F53" s="209">
        <v>10000</v>
      </c>
      <c r="G53" s="209"/>
      <c r="H53" s="209"/>
      <c r="I53" s="209"/>
      <c r="J53" s="209"/>
      <c r="K53" s="209"/>
      <c r="L53" s="209"/>
      <c r="M53" s="209"/>
      <c r="N53" s="209"/>
      <c r="O53" s="209"/>
      <c r="P53" s="209"/>
      <c r="Q53" s="209"/>
      <c r="R53" s="209"/>
      <c r="S53" s="209"/>
      <c r="T53" s="209"/>
      <c r="U53" s="209"/>
      <c r="V53" s="209"/>
      <c r="W53" s="209"/>
      <c r="X53" s="209"/>
      <c r="Y53" s="209"/>
      <c r="Z53" s="209"/>
      <c r="AA53" s="209"/>
      <c r="AB53" s="209"/>
      <c r="AC53" s="71"/>
      <c r="AD53" s="71"/>
      <c r="AE53" s="210">
        <f t="shared" si="0"/>
        <v>10000</v>
      </c>
    </row>
    <row r="54" spans="1:31" x14ac:dyDescent="0.2">
      <c r="A54" s="315"/>
      <c r="B54" s="316" t="s">
        <v>106</v>
      </c>
      <c r="C54" s="320" t="s">
        <v>674</v>
      </c>
      <c r="D54" s="209">
        <v>10000</v>
      </c>
      <c r="E54" s="209">
        <v>10000</v>
      </c>
      <c r="F54" s="209">
        <v>10000</v>
      </c>
      <c r="G54" s="209"/>
      <c r="H54" s="209"/>
      <c r="I54" s="209"/>
      <c r="J54" s="209"/>
      <c r="K54" s="209"/>
      <c r="L54" s="209"/>
      <c r="M54" s="209"/>
      <c r="N54" s="209"/>
      <c r="O54" s="209"/>
      <c r="P54" s="209"/>
      <c r="Q54" s="209"/>
      <c r="R54" s="209"/>
      <c r="S54" s="209"/>
      <c r="T54" s="209"/>
      <c r="U54" s="209"/>
      <c r="V54" s="209"/>
      <c r="W54" s="209"/>
      <c r="X54" s="209"/>
      <c r="Y54" s="209"/>
      <c r="Z54" s="209"/>
      <c r="AA54" s="209"/>
      <c r="AB54" s="209"/>
      <c r="AC54" s="71"/>
      <c r="AD54" s="71"/>
      <c r="AE54" s="210">
        <f t="shared" si="0"/>
        <v>10000</v>
      </c>
    </row>
    <row r="55" spans="1:31" x14ac:dyDescent="0.2">
      <c r="A55" s="315"/>
      <c r="B55" s="316" t="s">
        <v>106</v>
      </c>
      <c r="C55" s="320" t="s">
        <v>675</v>
      </c>
      <c r="D55" s="209">
        <v>7000</v>
      </c>
      <c r="E55" s="209">
        <v>6000</v>
      </c>
      <c r="F55" s="209">
        <v>5000</v>
      </c>
      <c r="G55" s="209"/>
      <c r="H55" s="209"/>
      <c r="I55" s="209"/>
      <c r="J55" s="209"/>
      <c r="K55" s="209"/>
      <c r="L55" s="209"/>
      <c r="M55" s="209"/>
      <c r="N55" s="209"/>
      <c r="O55" s="209"/>
      <c r="P55" s="209"/>
      <c r="Q55" s="209"/>
      <c r="R55" s="209"/>
      <c r="S55" s="209"/>
      <c r="T55" s="209"/>
      <c r="U55" s="209"/>
      <c r="V55" s="209"/>
      <c r="W55" s="209"/>
      <c r="X55" s="209"/>
      <c r="Y55" s="209"/>
      <c r="Z55" s="209"/>
      <c r="AA55" s="209"/>
      <c r="AB55" s="209"/>
      <c r="AC55" s="71"/>
      <c r="AD55" s="71"/>
      <c r="AE55" s="210">
        <f t="shared" si="0"/>
        <v>5000</v>
      </c>
    </row>
    <row r="56" spans="1:31" x14ac:dyDescent="0.2">
      <c r="A56" s="315"/>
      <c r="B56" s="316" t="s">
        <v>28</v>
      </c>
      <c r="C56" s="320" t="s">
        <v>676</v>
      </c>
      <c r="D56" s="209">
        <v>1000</v>
      </c>
      <c r="E56" s="209">
        <v>1000</v>
      </c>
      <c r="F56" s="209">
        <v>1000</v>
      </c>
      <c r="G56" s="209"/>
      <c r="H56" s="209"/>
      <c r="I56" s="209"/>
      <c r="J56" s="209"/>
      <c r="K56" s="209"/>
      <c r="L56" s="209"/>
      <c r="M56" s="209"/>
      <c r="N56" s="209"/>
      <c r="O56" s="209"/>
      <c r="P56" s="209"/>
      <c r="Q56" s="209"/>
      <c r="R56" s="209"/>
      <c r="S56" s="209"/>
      <c r="T56" s="209"/>
      <c r="U56" s="209"/>
      <c r="V56" s="209"/>
      <c r="W56" s="209"/>
      <c r="X56" s="209"/>
      <c r="Y56" s="209"/>
      <c r="Z56" s="209"/>
      <c r="AA56" s="209"/>
      <c r="AB56" s="209"/>
      <c r="AC56" s="71"/>
      <c r="AD56" s="71"/>
      <c r="AE56" s="210">
        <f t="shared" si="0"/>
        <v>1000</v>
      </c>
    </row>
    <row r="57" spans="1:31" x14ac:dyDescent="0.2">
      <c r="A57" s="315"/>
      <c r="B57" s="316" t="s">
        <v>28</v>
      </c>
      <c r="C57" s="320" t="s">
        <v>676</v>
      </c>
      <c r="D57" s="209">
        <v>1000</v>
      </c>
      <c r="E57" s="209">
        <v>1000</v>
      </c>
      <c r="F57" s="209">
        <v>1000</v>
      </c>
      <c r="G57" s="209"/>
      <c r="H57" s="209"/>
      <c r="I57" s="209"/>
      <c r="J57" s="209"/>
      <c r="K57" s="209"/>
      <c r="L57" s="209"/>
      <c r="M57" s="209"/>
      <c r="N57" s="209"/>
      <c r="O57" s="209"/>
      <c r="P57" s="209"/>
      <c r="Q57" s="209"/>
      <c r="R57" s="209"/>
      <c r="S57" s="209"/>
      <c r="T57" s="209"/>
      <c r="U57" s="209"/>
      <c r="V57" s="209"/>
      <c r="W57" s="209"/>
      <c r="X57" s="209"/>
      <c r="Y57" s="209"/>
      <c r="Z57" s="209"/>
      <c r="AA57" s="209"/>
      <c r="AB57" s="209"/>
      <c r="AC57" s="71"/>
      <c r="AD57" s="71"/>
      <c r="AE57" s="210">
        <f t="shared" si="0"/>
        <v>1000</v>
      </c>
    </row>
    <row r="58" spans="1:31" x14ac:dyDescent="0.2">
      <c r="A58" s="315"/>
      <c r="B58" s="316" t="s">
        <v>28</v>
      </c>
      <c r="C58" s="320" t="s">
        <v>676</v>
      </c>
      <c r="D58" s="209">
        <v>1000</v>
      </c>
      <c r="E58" s="209">
        <v>1000</v>
      </c>
      <c r="F58" s="209">
        <v>1000</v>
      </c>
      <c r="G58" s="209"/>
      <c r="H58" s="209"/>
      <c r="I58" s="209"/>
      <c r="J58" s="209"/>
      <c r="K58" s="209"/>
      <c r="L58" s="209"/>
      <c r="M58" s="209"/>
      <c r="N58" s="209"/>
      <c r="O58" s="209"/>
      <c r="P58" s="209"/>
      <c r="Q58" s="209"/>
      <c r="R58" s="209"/>
      <c r="S58" s="209"/>
      <c r="T58" s="209"/>
      <c r="U58" s="209"/>
      <c r="V58" s="209"/>
      <c r="W58" s="209"/>
      <c r="X58" s="209"/>
      <c r="Y58" s="209"/>
      <c r="Z58" s="209"/>
      <c r="AA58" s="209"/>
      <c r="AB58" s="209"/>
      <c r="AC58" s="71"/>
      <c r="AD58" s="71"/>
      <c r="AE58" s="210">
        <f t="shared" si="0"/>
        <v>1000</v>
      </c>
    </row>
    <row r="59" spans="1:31" x14ac:dyDescent="0.2">
      <c r="A59" s="315"/>
      <c r="B59" s="316" t="s">
        <v>545</v>
      </c>
      <c r="C59" s="320" t="s">
        <v>677</v>
      </c>
      <c r="D59" s="209">
        <v>5000</v>
      </c>
      <c r="E59" s="209">
        <v>5000</v>
      </c>
      <c r="F59" s="209">
        <v>5000</v>
      </c>
      <c r="G59" s="209"/>
      <c r="H59" s="209"/>
      <c r="I59" s="209"/>
      <c r="J59" s="209"/>
      <c r="K59" s="209"/>
      <c r="L59" s="209"/>
      <c r="M59" s="209"/>
      <c r="N59" s="209"/>
      <c r="O59" s="209"/>
      <c r="P59" s="209"/>
      <c r="Q59" s="209"/>
      <c r="R59" s="209"/>
      <c r="S59" s="209"/>
      <c r="T59" s="209"/>
      <c r="U59" s="209"/>
      <c r="V59" s="209"/>
      <c r="W59" s="209"/>
      <c r="X59" s="209"/>
      <c r="Y59" s="209"/>
      <c r="Z59" s="209"/>
      <c r="AA59" s="209"/>
      <c r="AB59" s="209"/>
      <c r="AC59" s="71"/>
      <c r="AD59" s="71"/>
      <c r="AE59" s="210">
        <f t="shared" si="0"/>
        <v>5000</v>
      </c>
    </row>
    <row r="60" spans="1:31" x14ac:dyDescent="0.2">
      <c r="A60" s="315"/>
      <c r="B60" s="316" t="s">
        <v>545</v>
      </c>
      <c r="C60" s="320" t="s">
        <v>678</v>
      </c>
      <c r="D60" s="209">
        <v>500</v>
      </c>
      <c r="E60" s="209">
        <v>500</v>
      </c>
      <c r="F60" s="209">
        <v>500</v>
      </c>
      <c r="G60" s="209"/>
      <c r="H60" s="209"/>
      <c r="I60" s="209"/>
      <c r="J60" s="209"/>
      <c r="K60" s="209"/>
      <c r="L60" s="209"/>
      <c r="M60" s="209"/>
      <c r="N60" s="209"/>
      <c r="O60" s="209"/>
      <c r="P60" s="209"/>
      <c r="Q60" s="209"/>
      <c r="R60" s="209"/>
      <c r="S60" s="209"/>
      <c r="T60" s="209"/>
      <c r="U60" s="209"/>
      <c r="V60" s="209"/>
      <c r="W60" s="209"/>
      <c r="X60" s="209"/>
      <c r="Y60" s="209"/>
      <c r="Z60" s="209"/>
      <c r="AA60" s="209"/>
      <c r="AB60" s="209"/>
      <c r="AC60" s="71"/>
      <c r="AD60" s="71"/>
      <c r="AE60" s="210">
        <f t="shared" si="0"/>
        <v>500</v>
      </c>
    </row>
    <row r="61" spans="1:31" x14ac:dyDescent="0.2">
      <c r="A61" s="315"/>
      <c r="B61" s="316" t="s">
        <v>545</v>
      </c>
      <c r="C61" s="320" t="s">
        <v>679</v>
      </c>
      <c r="D61" s="209">
        <v>1000</v>
      </c>
      <c r="E61" s="209">
        <v>1500</v>
      </c>
      <c r="F61" s="209">
        <v>1000</v>
      </c>
      <c r="G61" s="209"/>
      <c r="H61" s="209"/>
      <c r="I61" s="209"/>
      <c r="J61" s="209"/>
      <c r="K61" s="209"/>
      <c r="L61" s="209"/>
      <c r="M61" s="209"/>
      <c r="N61" s="209"/>
      <c r="O61" s="209"/>
      <c r="P61" s="209"/>
      <c r="Q61" s="209"/>
      <c r="R61" s="209"/>
      <c r="S61" s="209"/>
      <c r="T61" s="209"/>
      <c r="U61" s="209"/>
      <c r="V61" s="209"/>
      <c r="W61" s="209"/>
      <c r="X61" s="209"/>
      <c r="Y61" s="209"/>
      <c r="Z61" s="209"/>
      <c r="AA61" s="209"/>
      <c r="AB61" s="209"/>
      <c r="AC61" s="71"/>
      <c r="AD61" s="71"/>
      <c r="AE61" s="210">
        <f t="shared" si="0"/>
        <v>1000</v>
      </c>
    </row>
    <row r="62" spans="1:31" x14ac:dyDescent="0.2">
      <c r="A62" s="315"/>
      <c r="B62" s="316" t="s">
        <v>545</v>
      </c>
      <c r="C62" s="320" t="s">
        <v>679</v>
      </c>
      <c r="D62" s="209">
        <v>1000</v>
      </c>
      <c r="E62" s="209">
        <v>1500</v>
      </c>
      <c r="F62" s="209">
        <v>1000</v>
      </c>
      <c r="G62" s="209"/>
      <c r="H62" s="209"/>
      <c r="I62" s="209"/>
      <c r="J62" s="209"/>
      <c r="K62" s="209"/>
      <c r="L62" s="209"/>
      <c r="M62" s="209"/>
      <c r="N62" s="209"/>
      <c r="O62" s="209"/>
      <c r="P62" s="209"/>
      <c r="Q62" s="209"/>
      <c r="R62" s="209"/>
      <c r="S62" s="209"/>
      <c r="T62" s="209"/>
      <c r="U62" s="209"/>
      <c r="V62" s="209"/>
      <c r="W62" s="209"/>
      <c r="X62" s="209"/>
      <c r="Y62" s="209"/>
      <c r="Z62" s="209"/>
      <c r="AA62" s="209"/>
      <c r="AB62" s="209"/>
      <c r="AC62" s="71"/>
      <c r="AD62" s="71"/>
      <c r="AE62" s="210">
        <f t="shared" si="0"/>
        <v>1000</v>
      </c>
    </row>
    <row r="63" spans="1:31" x14ac:dyDescent="0.2">
      <c r="A63" s="315"/>
      <c r="B63" s="316" t="s">
        <v>545</v>
      </c>
      <c r="C63" s="320" t="s">
        <v>679</v>
      </c>
      <c r="D63" s="209">
        <v>1000</v>
      </c>
      <c r="E63" s="209">
        <v>1500</v>
      </c>
      <c r="F63" s="209">
        <v>1000</v>
      </c>
      <c r="G63" s="209"/>
      <c r="H63" s="209"/>
      <c r="I63" s="209"/>
      <c r="J63" s="209"/>
      <c r="K63" s="209"/>
      <c r="L63" s="209"/>
      <c r="M63" s="209"/>
      <c r="N63" s="209"/>
      <c r="O63" s="209"/>
      <c r="P63" s="209"/>
      <c r="Q63" s="209"/>
      <c r="R63" s="209"/>
      <c r="S63" s="209"/>
      <c r="T63" s="209"/>
      <c r="U63" s="209"/>
      <c r="V63" s="209"/>
      <c r="W63" s="209"/>
      <c r="X63" s="209"/>
      <c r="Y63" s="209"/>
      <c r="Z63" s="209"/>
      <c r="AA63" s="209"/>
      <c r="AB63" s="209"/>
      <c r="AC63" s="71"/>
      <c r="AD63" s="71"/>
      <c r="AE63" s="210">
        <f t="shared" si="0"/>
        <v>1000</v>
      </c>
    </row>
    <row r="64" spans="1:31" x14ac:dyDescent="0.2">
      <c r="AD64" s="71"/>
      <c r="AE64" s="210"/>
    </row>
    <row r="65" spans="31:31" x14ac:dyDescent="0.2">
      <c r="AE65" s="210"/>
    </row>
    <row r="66" spans="31:31" x14ac:dyDescent="0.2">
      <c r="AE66" s="210"/>
    </row>
    <row r="67" spans="31:31" x14ac:dyDescent="0.2">
      <c r="AE67" s="210"/>
    </row>
    <row r="68" spans="31:31" x14ac:dyDescent="0.2">
      <c r="AE68" s="210"/>
    </row>
    <row r="69" spans="31:31" x14ac:dyDescent="0.2">
      <c r="AE69" s="210"/>
    </row>
    <row r="70" spans="31:31" x14ac:dyDescent="0.2">
      <c r="AE70" s="210"/>
    </row>
    <row r="71" spans="31:31" x14ac:dyDescent="0.2">
      <c r="AE71" s="210"/>
    </row>
    <row r="72" spans="31:31" x14ac:dyDescent="0.2">
      <c r="AE72" s="210"/>
    </row>
    <row r="73" spans="31:31" x14ac:dyDescent="0.2">
      <c r="AE73" s="210"/>
    </row>
    <row r="74" spans="31:31" x14ac:dyDescent="0.2">
      <c r="AE74" s="210"/>
    </row>
    <row r="75" spans="31:31" x14ac:dyDescent="0.2">
      <c r="AE75" s="210"/>
    </row>
    <row r="76" spans="31:31" x14ac:dyDescent="0.2">
      <c r="AE76" s="210"/>
    </row>
    <row r="77" spans="31:31" x14ac:dyDescent="0.2">
      <c r="AE77" s="210"/>
    </row>
    <row r="78" spans="31:31" x14ac:dyDescent="0.2">
      <c r="AE78" s="210"/>
    </row>
    <row r="79" spans="31:31" x14ac:dyDescent="0.2">
      <c r="AE79" s="210"/>
    </row>
    <row r="80" spans="31:31" x14ac:dyDescent="0.2">
      <c r="AE80" s="210"/>
    </row>
    <row r="81" spans="31:31" x14ac:dyDescent="0.2">
      <c r="AE81" s="210"/>
    </row>
    <row r="82" spans="31:31" x14ac:dyDescent="0.2">
      <c r="AE82" s="210"/>
    </row>
    <row r="83" spans="31:31" x14ac:dyDescent="0.2">
      <c r="AE83" s="210"/>
    </row>
    <row r="84" spans="31:31" x14ac:dyDescent="0.2">
      <c r="AE84" s="210"/>
    </row>
    <row r="85" spans="31:31" x14ac:dyDescent="0.2">
      <c r="AE85" s="210"/>
    </row>
    <row r="86" spans="31:31" x14ac:dyDescent="0.2">
      <c r="AE86" s="210"/>
    </row>
    <row r="87" spans="31:31" x14ac:dyDescent="0.2">
      <c r="AE87" s="210"/>
    </row>
    <row r="88" spans="31:31" x14ac:dyDescent="0.2">
      <c r="AE88" s="210"/>
    </row>
    <row r="89" spans="31:31" x14ac:dyDescent="0.2">
      <c r="AE89" s="210"/>
    </row>
    <row r="90" spans="31:31" x14ac:dyDescent="0.2">
      <c r="AE90" s="210"/>
    </row>
    <row r="91" spans="31:31" x14ac:dyDescent="0.2">
      <c r="AE91" s="210"/>
    </row>
    <row r="92" spans="31:31" x14ac:dyDescent="0.2">
      <c r="AE92" s="210"/>
    </row>
    <row r="93" spans="31:31" x14ac:dyDescent="0.2">
      <c r="AE93" s="210"/>
    </row>
    <row r="94" spans="31:31" x14ac:dyDescent="0.2">
      <c r="AE94" s="210"/>
    </row>
  </sheetData>
  <sheetProtection insertColumns="0" insertRows="0"/>
  <mergeCells count="5">
    <mergeCell ref="AF11:AI11"/>
    <mergeCell ref="AB5:AC6"/>
    <mergeCell ref="B6:C6"/>
    <mergeCell ref="AE9:AG9"/>
    <mergeCell ref="AH9:AI9"/>
  </mergeCells>
  <phoneticPr fontId="13" type="noConversion"/>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D3460-D1FA-4DE1-88C1-115314ECC395}">
  <sheetPr>
    <tabColor theme="7" tint="0.59999389629810485"/>
  </sheetPr>
  <dimension ref="A2:Y131"/>
  <sheetViews>
    <sheetView showGridLines="0" topLeftCell="A90" zoomScale="55" zoomScaleNormal="100" workbookViewId="0">
      <selection activeCell="E121" sqref="E121"/>
    </sheetView>
  </sheetViews>
  <sheetFormatPr baseColWidth="10" defaultColWidth="8.83203125" defaultRowHeight="15" x14ac:dyDescent="0.2"/>
  <cols>
    <col min="1" max="1" width="3" style="22" customWidth="1"/>
    <col min="2" max="2" width="3.1640625" style="22" customWidth="1"/>
    <col min="3" max="3" width="38.5" style="22" customWidth="1"/>
    <col min="4" max="5" width="14.83203125" style="22" customWidth="1"/>
    <col min="6" max="9" width="15.6640625" style="22" customWidth="1"/>
    <col min="10" max="10" width="18.83203125" style="22" customWidth="1"/>
    <col min="11" max="11" width="13.1640625" style="22" customWidth="1"/>
    <col min="12" max="22" width="8.83203125" style="22"/>
    <col min="23" max="23" width="17.83203125" style="22" customWidth="1"/>
    <col min="24" max="24" width="22.1640625" style="22" customWidth="1"/>
    <col min="25" max="16384" width="8.83203125" style="22"/>
  </cols>
  <sheetData>
    <row r="2" spans="1:24" ht="62" x14ac:dyDescent="0.7">
      <c r="A2" s="131" t="s">
        <v>287</v>
      </c>
      <c r="B2" s="132"/>
    </row>
    <row r="4" spans="1:24" ht="21" x14ac:dyDescent="0.25">
      <c r="B4" s="155" t="s">
        <v>52</v>
      </c>
    </row>
    <row r="5" spans="1:24" ht="102" customHeight="1" x14ac:dyDescent="0.2">
      <c r="B5" s="424" t="s">
        <v>484</v>
      </c>
      <c r="C5" s="424"/>
      <c r="D5" s="424"/>
      <c r="E5" s="424"/>
      <c r="F5" s="424"/>
      <c r="G5" s="424"/>
      <c r="H5" s="424"/>
      <c r="I5" s="424"/>
      <c r="J5" s="424"/>
      <c r="K5" s="424"/>
      <c r="L5" s="424"/>
      <c r="M5" s="424"/>
      <c r="N5" s="424"/>
      <c r="O5" s="424"/>
      <c r="P5" s="424"/>
      <c r="Q5" s="424"/>
      <c r="R5" s="424"/>
      <c r="S5" s="424"/>
      <c r="T5" s="424"/>
      <c r="U5" s="424"/>
      <c r="V5" s="424"/>
      <c r="W5" s="424"/>
      <c r="X5" s="424"/>
    </row>
    <row r="7" spans="1:24" ht="21" x14ac:dyDescent="0.25">
      <c r="B7" s="126" t="s">
        <v>302</v>
      </c>
      <c r="C7" s="28"/>
      <c r="D7" s="28"/>
      <c r="E7" s="29"/>
      <c r="F7" s="29"/>
      <c r="G7" s="29"/>
      <c r="H7" s="29"/>
      <c r="I7" s="29"/>
      <c r="J7" s="29"/>
      <c r="K7" s="29"/>
      <c r="L7" s="29"/>
      <c r="M7" s="29"/>
      <c r="N7" s="29"/>
      <c r="O7" s="29"/>
      <c r="P7" s="29"/>
      <c r="Q7" s="29"/>
      <c r="R7" s="29"/>
      <c r="S7" s="29"/>
      <c r="T7" s="29"/>
      <c r="U7" s="29"/>
      <c r="V7" s="29"/>
      <c r="W7" s="29"/>
      <c r="X7" s="29"/>
    </row>
    <row r="8" spans="1:24" ht="16" thickBot="1" x14ac:dyDescent="0.25"/>
    <row r="9" spans="1:24" ht="24" x14ac:dyDescent="0.3">
      <c r="B9" s="156"/>
      <c r="C9" s="157" t="s">
        <v>458</v>
      </c>
      <c r="D9" s="158"/>
      <c r="E9" s="158"/>
      <c r="F9" s="158"/>
      <c r="G9" s="158"/>
      <c r="H9" s="158"/>
      <c r="I9" s="159"/>
      <c r="K9" s="147" t="s">
        <v>20</v>
      </c>
      <c r="L9" s="160" t="s">
        <v>262</v>
      </c>
      <c r="M9" s="160"/>
      <c r="N9" s="160"/>
      <c r="O9" s="160"/>
      <c r="P9" s="160"/>
      <c r="Q9" s="160"/>
      <c r="R9" s="160"/>
      <c r="S9" s="160"/>
      <c r="T9" s="160"/>
      <c r="U9" s="160"/>
      <c r="V9" s="160"/>
      <c r="W9" s="160"/>
      <c r="X9" s="160"/>
    </row>
    <row r="10" spans="1:24" x14ac:dyDescent="0.2">
      <c r="B10" s="139"/>
      <c r="I10" s="140"/>
    </row>
    <row r="11" spans="1:24" x14ac:dyDescent="0.2">
      <c r="B11" s="139"/>
      <c r="E11" s="50" t="s">
        <v>290</v>
      </c>
      <c r="G11" s="50" t="s">
        <v>291</v>
      </c>
      <c r="I11" s="140"/>
    </row>
    <row r="12" spans="1:24" ht="81.75" customHeight="1" x14ac:dyDescent="0.2">
      <c r="B12" s="139"/>
      <c r="C12" s="65" t="s">
        <v>478</v>
      </c>
      <c r="E12" s="331">
        <v>1.6</v>
      </c>
      <c r="G12" s="161">
        <v>1.5</v>
      </c>
      <c r="I12" s="140"/>
      <c r="K12" s="162" t="s">
        <v>274</v>
      </c>
      <c r="L12" s="425" t="s">
        <v>539</v>
      </c>
      <c r="M12" s="426"/>
      <c r="N12" s="426"/>
      <c r="O12" s="426"/>
      <c r="P12" s="426"/>
      <c r="Q12" s="426"/>
      <c r="R12" s="426"/>
      <c r="S12" s="426"/>
      <c r="T12" s="426"/>
      <c r="U12" s="426"/>
      <c r="V12" s="426"/>
      <c r="W12" s="426"/>
      <c r="X12" s="426"/>
    </row>
    <row r="13" spans="1:24" x14ac:dyDescent="0.2">
      <c r="B13" s="139"/>
      <c r="C13" s="163"/>
      <c r="I13" s="140"/>
    </row>
    <row r="14" spans="1:24" x14ac:dyDescent="0.2">
      <c r="B14" s="139"/>
      <c r="C14" s="22" t="s">
        <v>294</v>
      </c>
      <c r="E14" s="154" t="s">
        <v>221</v>
      </c>
      <c r="I14" s="140"/>
      <c r="L14" s="164" t="s">
        <v>295</v>
      </c>
      <c r="M14" s="165"/>
      <c r="N14" s="165"/>
      <c r="O14" s="165"/>
      <c r="P14" s="165"/>
      <c r="Q14" s="165"/>
      <c r="R14" s="165"/>
      <c r="S14" s="165"/>
      <c r="T14" s="165"/>
      <c r="U14" s="165"/>
      <c r="V14" s="165"/>
      <c r="W14" s="165"/>
      <c r="X14" s="165"/>
    </row>
    <row r="15" spans="1:24" x14ac:dyDescent="0.2">
      <c r="B15" s="139"/>
      <c r="C15" s="60"/>
      <c r="D15" s="166"/>
      <c r="I15" s="140"/>
    </row>
    <row r="16" spans="1:24" ht="19" x14ac:dyDescent="0.25">
      <c r="B16" s="139"/>
      <c r="C16" s="167" t="s">
        <v>241</v>
      </c>
      <c r="D16" s="168" t="s">
        <v>296</v>
      </c>
      <c r="E16" s="169">
        <f>_xlfn.IFNA(HLOOKUP(E14,'Background calculations'!$E$124:$G$128,5,FALSE),"")</f>
        <v>2767.1366120000007</v>
      </c>
      <c r="I16" s="140"/>
    </row>
    <row r="17" spans="2:24" ht="16" thickBot="1" x14ac:dyDescent="0.25">
      <c r="B17" s="142"/>
      <c r="C17" s="143"/>
      <c r="D17" s="143"/>
      <c r="E17" s="143"/>
      <c r="F17" s="143"/>
      <c r="G17" s="143"/>
      <c r="H17" s="143"/>
      <c r="I17" s="145"/>
    </row>
    <row r="19" spans="2:24" ht="21" x14ac:dyDescent="0.25">
      <c r="B19" s="126" t="s">
        <v>459</v>
      </c>
      <c r="C19" s="28"/>
      <c r="D19" s="28"/>
      <c r="E19" s="29"/>
      <c r="F19" s="29"/>
      <c r="G19" s="29"/>
      <c r="H19" s="29"/>
      <c r="I19" s="29"/>
      <c r="J19" s="29"/>
      <c r="K19" s="29"/>
      <c r="L19" s="29"/>
      <c r="M19" s="29"/>
      <c r="N19" s="29"/>
      <c r="O19" s="29"/>
      <c r="P19" s="29"/>
      <c r="Q19" s="29"/>
      <c r="R19" s="29"/>
      <c r="S19" s="29"/>
      <c r="T19" s="29"/>
      <c r="U19" s="29"/>
      <c r="V19" s="29"/>
      <c r="W19" s="29"/>
      <c r="X19" s="29"/>
    </row>
    <row r="20" spans="2:24" x14ac:dyDescent="0.2">
      <c r="B20" s="60"/>
    </row>
    <row r="21" spans="2:24" ht="21" x14ac:dyDescent="0.25">
      <c r="B21" s="155" t="s">
        <v>52</v>
      </c>
    </row>
    <row r="22" spans="2:24" ht="113.5" customHeight="1" x14ac:dyDescent="0.2">
      <c r="B22" s="170"/>
      <c r="C22" s="424" t="s">
        <v>486</v>
      </c>
      <c r="D22" s="424"/>
      <c r="E22" s="424"/>
      <c r="F22" s="424"/>
      <c r="G22" s="424"/>
      <c r="H22" s="424"/>
      <c r="I22" s="424"/>
      <c r="J22" s="424"/>
      <c r="K22" s="424"/>
      <c r="L22" s="424"/>
      <c r="M22" s="424"/>
      <c r="N22" s="424"/>
      <c r="O22" s="424"/>
      <c r="P22" s="424"/>
      <c r="Q22" s="424"/>
      <c r="R22" s="424"/>
      <c r="S22" s="424"/>
      <c r="T22" s="424"/>
      <c r="U22" s="424"/>
      <c r="V22" s="424"/>
      <c r="W22" s="424"/>
      <c r="X22" s="424"/>
    </row>
    <row r="23" spans="2:24" x14ac:dyDescent="0.2">
      <c r="B23" s="170"/>
      <c r="C23" s="171" t="s">
        <v>487</v>
      </c>
      <c r="D23" s="45"/>
      <c r="E23" s="45"/>
      <c r="F23" s="45"/>
      <c r="G23" s="45"/>
      <c r="H23" s="45"/>
      <c r="I23" s="45"/>
      <c r="J23" s="45"/>
      <c r="K23" s="45"/>
      <c r="L23" s="45"/>
      <c r="M23" s="45"/>
      <c r="N23" s="45"/>
      <c r="O23" s="45"/>
      <c r="P23" s="45"/>
      <c r="Q23" s="45"/>
      <c r="R23" s="45"/>
      <c r="S23" s="45"/>
      <c r="T23" s="45"/>
      <c r="U23" s="45"/>
      <c r="V23" s="45"/>
      <c r="W23" s="45"/>
      <c r="X23" s="45"/>
    </row>
    <row r="24" spans="2:24" x14ac:dyDescent="0.2">
      <c r="B24" s="170"/>
      <c r="C24" s="172" t="s">
        <v>151</v>
      </c>
      <c r="D24" s="45"/>
      <c r="E24" s="45"/>
      <c r="F24" s="45"/>
      <c r="G24" s="45"/>
      <c r="H24" s="45"/>
      <c r="I24" s="45"/>
      <c r="J24" s="45"/>
      <c r="K24" s="45"/>
      <c r="L24" s="45"/>
      <c r="M24" s="45"/>
      <c r="N24" s="45"/>
      <c r="O24" s="45"/>
      <c r="P24" s="45"/>
      <c r="Q24" s="45"/>
      <c r="R24" s="45"/>
      <c r="S24" s="45"/>
      <c r="T24" s="45"/>
      <c r="U24" s="45"/>
      <c r="V24" s="45"/>
      <c r="W24" s="45"/>
      <c r="X24" s="45"/>
    </row>
    <row r="25" spans="2:24" x14ac:dyDescent="0.2">
      <c r="B25" s="45"/>
      <c r="C25" s="172" t="s">
        <v>154</v>
      </c>
      <c r="D25" s="45"/>
      <c r="E25" s="45"/>
      <c r="F25" s="45"/>
      <c r="G25" s="45"/>
      <c r="H25" s="45"/>
      <c r="I25" s="45"/>
      <c r="J25" s="45"/>
      <c r="K25" s="45"/>
      <c r="L25" s="45"/>
      <c r="M25" s="45"/>
      <c r="N25" s="45"/>
      <c r="O25" s="45"/>
      <c r="P25" s="45"/>
      <c r="Q25" s="45"/>
      <c r="R25" s="45"/>
      <c r="S25" s="45"/>
      <c r="T25" s="45"/>
      <c r="U25" s="45"/>
      <c r="V25" s="45"/>
      <c r="W25" s="45"/>
      <c r="X25" s="45"/>
    </row>
    <row r="26" spans="2:24" x14ac:dyDescent="0.2">
      <c r="B26" s="45"/>
      <c r="C26" s="173"/>
      <c r="D26" s="45"/>
      <c r="E26" s="45"/>
      <c r="F26" s="45"/>
      <c r="G26" s="45"/>
      <c r="H26" s="45"/>
      <c r="I26" s="45"/>
      <c r="J26" s="45"/>
      <c r="K26" s="45"/>
      <c r="L26" s="45"/>
      <c r="M26" s="45"/>
      <c r="N26" s="45"/>
      <c r="O26" s="45"/>
      <c r="P26" s="45"/>
      <c r="Q26" s="45"/>
      <c r="R26" s="45"/>
      <c r="S26" s="45"/>
      <c r="T26" s="45"/>
      <c r="U26" s="45"/>
      <c r="V26" s="45"/>
      <c r="W26" s="45"/>
      <c r="X26" s="45"/>
    </row>
    <row r="27" spans="2:24" ht="16" thickBot="1" x14ac:dyDescent="0.25">
      <c r="B27" s="60"/>
    </row>
    <row r="28" spans="2:24" x14ac:dyDescent="0.2">
      <c r="B28" s="174"/>
      <c r="C28" s="175"/>
      <c r="D28" s="175"/>
      <c r="E28" s="175"/>
      <c r="F28" s="175"/>
      <c r="G28" s="175"/>
      <c r="H28" s="175"/>
      <c r="I28" s="176"/>
      <c r="J28" s="134"/>
    </row>
    <row r="29" spans="2:24" ht="16" x14ac:dyDescent="0.2">
      <c r="B29" s="177"/>
      <c r="C29" s="148" t="s">
        <v>100</v>
      </c>
      <c r="D29" s="148" t="s">
        <v>101</v>
      </c>
      <c r="E29" s="178" t="s">
        <v>148</v>
      </c>
      <c r="F29" s="178" t="s">
        <v>149</v>
      </c>
      <c r="G29" s="178" t="s">
        <v>150</v>
      </c>
      <c r="H29" s="178" t="s">
        <v>152</v>
      </c>
      <c r="I29" s="140"/>
    </row>
    <row r="30" spans="2:24" x14ac:dyDescent="0.2">
      <c r="B30" s="177"/>
      <c r="C30" s="22" t="str">
        <f>'Food costs - Input data'!B11</f>
        <v>Cereals and Grains</v>
      </c>
      <c r="D30" s="22" t="str">
        <f>IF('Food costs - Input data'!C11="","",'Food costs - Input data'!C11)</f>
        <v>Rice 1</v>
      </c>
      <c r="E30" s="179">
        <v>7.1</v>
      </c>
      <c r="F30" s="179">
        <v>0.6</v>
      </c>
      <c r="G30" s="179">
        <v>78.2</v>
      </c>
      <c r="H30" s="179">
        <v>0.2</v>
      </c>
      <c r="I30" s="140"/>
      <c r="K30" s="134"/>
    </row>
    <row r="31" spans="2:24" x14ac:dyDescent="0.2">
      <c r="B31" s="177"/>
      <c r="C31" s="22" t="str">
        <f>'Food costs - Input data'!B12</f>
        <v>Cereals and Grains</v>
      </c>
      <c r="D31" s="22" t="str">
        <f>IF('Food costs - Input data'!C12="","",'Food costs - Input data'!C12)</f>
        <v>Rice 2</v>
      </c>
      <c r="E31" s="179">
        <v>7.1</v>
      </c>
      <c r="F31" s="179">
        <v>0.6</v>
      </c>
      <c r="G31" s="179">
        <v>78.2</v>
      </c>
      <c r="H31" s="179">
        <v>1</v>
      </c>
      <c r="I31" s="140"/>
    </row>
    <row r="32" spans="2:24" x14ac:dyDescent="0.2">
      <c r="B32" s="177"/>
      <c r="C32" s="22" t="str">
        <f>'Food costs - Input data'!B13</f>
        <v>Cereals and Grains</v>
      </c>
      <c r="D32" s="22" t="str">
        <f>IF('Food costs - Input data'!C13="","",'Food costs - Input data'!C13)</f>
        <v>Rice 3</v>
      </c>
      <c r="E32" s="180">
        <v>7.1</v>
      </c>
      <c r="F32" s="180">
        <v>0.6</v>
      </c>
      <c r="G32" s="180">
        <v>78.2</v>
      </c>
      <c r="H32" s="179">
        <v>1</v>
      </c>
      <c r="I32" s="140"/>
    </row>
    <row r="33" spans="2:11" x14ac:dyDescent="0.2">
      <c r="B33" s="177"/>
      <c r="C33" s="22" t="str">
        <f>'Food costs - Input data'!B14</f>
        <v>Cereals and Grains</v>
      </c>
      <c r="D33" s="22" t="str">
        <f>IF('Food costs - Input data'!C14="","",'Food costs - Input data'!C14)</f>
        <v>Rice 4</v>
      </c>
      <c r="E33" s="179">
        <v>7.1</v>
      </c>
      <c r="F33" s="179">
        <v>0.6</v>
      </c>
      <c r="G33" s="179">
        <v>78.2</v>
      </c>
      <c r="H33" s="179">
        <v>1</v>
      </c>
      <c r="I33" s="140"/>
    </row>
    <row r="34" spans="2:11" x14ac:dyDescent="0.2">
      <c r="B34" s="177"/>
      <c r="C34" s="22" t="str">
        <f>'Food costs - Input data'!B15</f>
        <v>Prepared cereals</v>
      </c>
      <c r="D34" s="22" t="str">
        <f>IF('Food costs - Input data'!C15="","",'Food costs - Input data'!C15)</f>
        <v>Bread</v>
      </c>
      <c r="E34" s="179">
        <v>8.5</v>
      </c>
      <c r="F34" s="179">
        <v>3.3</v>
      </c>
      <c r="G34" s="179">
        <v>49</v>
      </c>
      <c r="H34" s="179">
        <v>1</v>
      </c>
      <c r="I34" s="140"/>
    </row>
    <row r="35" spans="2:11" x14ac:dyDescent="0.2">
      <c r="B35" s="177"/>
      <c r="C35" s="22" t="str">
        <f>'Food costs - Input data'!B16</f>
        <v>Prepared cereals</v>
      </c>
      <c r="D35" s="22" t="str">
        <f>IF('Food costs - Input data'!C16="","",'Food costs - Input data'!C16)</f>
        <v>chapati</v>
      </c>
      <c r="E35" s="179">
        <v>9</v>
      </c>
      <c r="F35" s="179">
        <v>12</v>
      </c>
      <c r="G35" s="179">
        <v>45</v>
      </c>
      <c r="H35" s="179">
        <v>1</v>
      </c>
      <c r="I35" s="140"/>
    </row>
    <row r="36" spans="2:11" x14ac:dyDescent="0.2">
      <c r="B36" s="177"/>
      <c r="C36" s="22" t="str">
        <f>'Food costs - Input data'!B17</f>
        <v>Prepared cereals</v>
      </c>
      <c r="D36" s="22" t="str">
        <f>IF('Food costs - Input data'!C17="","",'Food costs - Input data'!C17)</f>
        <v>Doughnut</v>
      </c>
      <c r="E36" s="179">
        <v>5</v>
      </c>
      <c r="F36" s="179">
        <v>25</v>
      </c>
      <c r="G36" s="179">
        <v>51</v>
      </c>
      <c r="H36" s="179">
        <v>1</v>
      </c>
      <c r="I36" s="140"/>
    </row>
    <row r="37" spans="2:11" x14ac:dyDescent="0.2">
      <c r="B37" s="177"/>
      <c r="C37" s="22" t="str">
        <f>'Food costs - Input data'!B18</f>
        <v>Roots &amp; tubers (starchy)</v>
      </c>
      <c r="D37" s="22" t="str">
        <f>IF('Food costs - Input data'!C18="","",'Food costs - Input data'!C18)</f>
        <v>Cassava</v>
      </c>
      <c r="E37" s="179">
        <v>1.4</v>
      </c>
      <c r="F37" s="179">
        <v>0.3</v>
      </c>
      <c r="G37" s="179">
        <v>38.1</v>
      </c>
      <c r="H37" s="179">
        <v>0.8</v>
      </c>
      <c r="I37" s="140"/>
    </row>
    <row r="38" spans="2:11" x14ac:dyDescent="0.2">
      <c r="B38" s="177"/>
      <c r="C38" s="22" t="str">
        <f>'Food costs - Input data'!B19</f>
        <v>Roots &amp; tubers (starchy)</v>
      </c>
      <c r="D38" s="22" t="str">
        <f>IF('Food costs - Input data'!C19="","",'Food costs - Input data'!C19)</f>
        <v>Potatoes</v>
      </c>
      <c r="E38" s="179">
        <v>2</v>
      </c>
      <c r="F38" s="179">
        <v>0.1</v>
      </c>
      <c r="G38" s="179">
        <v>17</v>
      </c>
      <c r="H38" s="179">
        <v>0.8</v>
      </c>
      <c r="I38" s="140"/>
    </row>
    <row r="39" spans="2:11" x14ac:dyDescent="0.2">
      <c r="B39" s="177"/>
      <c r="C39" s="22" t="str">
        <f>'Food costs - Input data'!B20</f>
        <v>Roots &amp; tubers (starchy)</v>
      </c>
      <c r="D39" s="22" t="str">
        <f>IF('Food costs - Input data'!C20="","",'Food costs - Input data'!C20)</f>
        <v>Yams</v>
      </c>
      <c r="E39" s="179">
        <v>1.5</v>
      </c>
      <c r="F39" s="179">
        <v>0.2</v>
      </c>
      <c r="G39" s="179">
        <v>27</v>
      </c>
      <c r="H39" s="179">
        <v>0.8</v>
      </c>
      <c r="I39" s="140"/>
    </row>
    <row r="40" spans="2:11" x14ac:dyDescent="0.2">
      <c r="B40" s="177"/>
      <c r="C40" s="22" t="str">
        <f>'Food costs - Input data'!B21</f>
        <v>Starchy fruit or vegetable</v>
      </c>
      <c r="D40" s="22" t="str">
        <f>IF('Food costs - Input data'!C21="","",'Food costs - Input data'!C21)</f>
        <v>Pumpkin</v>
      </c>
      <c r="E40" s="180">
        <v>1</v>
      </c>
      <c r="F40" s="180">
        <v>0.1</v>
      </c>
      <c r="G40" s="180">
        <v>7</v>
      </c>
      <c r="H40" s="179">
        <v>0.8</v>
      </c>
      <c r="I40" s="140"/>
    </row>
    <row r="41" spans="2:11" x14ac:dyDescent="0.2">
      <c r="B41" s="177"/>
      <c r="C41" s="22" t="str">
        <f>'Food costs - Input data'!B22</f>
        <v>Starchy fruit or vegetable</v>
      </c>
      <c r="D41" s="22" t="str">
        <f>IF('Food costs - Input data'!C22="","",'Food costs - Input data'!C22)</f>
        <v>Matooke</v>
      </c>
      <c r="E41" s="363">
        <v>0.9</v>
      </c>
      <c r="F41" s="363">
        <v>0.2</v>
      </c>
      <c r="G41" s="363">
        <v>10</v>
      </c>
      <c r="H41" s="179">
        <v>0.8</v>
      </c>
      <c r="I41" s="140"/>
    </row>
    <row r="42" spans="2:11" x14ac:dyDescent="0.2">
      <c r="B42" s="177"/>
      <c r="C42" s="22" t="str">
        <f>'Food costs - Input data'!B23</f>
        <v>Starchy fruit or vegetable</v>
      </c>
      <c r="D42" s="22" t="str">
        <f>IF('Food costs - Input data'!C23="","",'Food costs - Input data'!C23)</f>
        <v>Green Pepper</v>
      </c>
      <c r="E42" s="363">
        <v>1</v>
      </c>
      <c r="F42" s="363">
        <v>0.3</v>
      </c>
      <c r="G42" s="363">
        <v>6</v>
      </c>
      <c r="H42" s="179">
        <v>0.8</v>
      </c>
      <c r="I42" s="140"/>
    </row>
    <row r="43" spans="2:11" x14ac:dyDescent="0.2">
      <c r="B43" s="177"/>
      <c r="C43" s="22" t="str">
        <f>'Food costs - Input data'!B24</f>
        <v>Pulses, legumes, beans</v>
      </c>
      <c r="D43" s="22" t="str">
        <f>IF('Food costs - Input data'!C24="","",'Food costs - Input data'!C24)</f>
        <v>Groundnuts</v>
      </c>
      <c r="E43" s="363">
        <v>25.8</v>
      </c>
      <c r="F43" s="363">
        <v>49.2</v>
      </c>
      <c r="G43" s="363">
        <v>16.100000000000001</v>
      </c>
      <c r="H43" s="179">
        <v>0.8</v>
      </c>
      <c r="I43" s="140"/>
    </row>
    <row r="44" spans="2:11" x14ac:dyDescent="0.2">
      <c r="B44" s="177"/>
      <c r="C44" s="22" t="str">
        <f>'Food costs - Input data'!B25</f>
        <v>Pulses, legumes, beans</v>
      </c>
      <c r="D44" s="22" t="str">
        <f>IF('Food costs - Input data'!C25="","",'Food costs - Input data'!C25)</f>
        <v>fresh Beans</v>
      </c>
      <c r="E44" s="363">
        <v>2.4</v>
      </c>
      <c r="F44" s="363">
        <v>0.2</v>
      </c>
      <c r="G44" s="363">
        <v>7</v>
      </c>
      <c r="H44" s="179">
        <v>0.8</v>
      </c>
      <c r="I44" s="140"/>
    </row>
    <row r="45" spans="2:11" x14ac:dyDescent="0.2">
      <c r="B45" s="177"/>
      <c r="C45" s="22" t="str">
        <f>'Food costs - Input data'!B26</f>
        <v>Pulses, legumes, beans</v>
      </c>
      <c r="D45" s="22" t="str">
        <f>IF('Food costs - Input data'!C26="","",'Food costs - Input data'!C26)</f>
        <v>Peas</v>
      </c>
      <c r="E45" s="179">
        <v>5</v>
      </c>
      <c r="F45" s="179">
        <v>0.4</v>
      </c>
      <c r="G45" s="179">
        <v>14</v>
      </c>
      <c r="H45" s="179">
        <v>0.8</v>
      </c>
      <c r="I45" s="140"/>
    </row>
    <row r="46" spans="2:11" x14ac:dyDescent="0.2">
      <c r="B46" s="177"/>
      <c r="C46" s="22" t="str">
        <f>'Food costs - Input data'!B27</f>
        <v>Pulses, legumes, beans</v>
      </c>
      <c r="D46" s="22" t="str">
        <f>IF('Food costs - Input data'!C27="","",'Food costs - Input data'!C27)</f>
        <v>Soy</v>
      </c>
      <c r="E46" s="179">
        <v>36.5</v>
      </c>
      <c r="F46" s="179">
        <v>20</v>
      </c>
      <c r="G46" s="179">
        <v>30</v>
      </c>
      <c r="H46" s="179">
        <v>0.8</v>
      </c>
      <c r="I46" s="140"/>
    </row>
    <row r="47" spans="2:11" x14ac:dyDescent="0.2">
      <c r="B47" s="177"/>
      <c r="C47" s="22" t="str">
        <f>'Food costs - Input data'!B28</f>
        <v>Pulses, legumes, beans</v>
      </c>
      <c r="D47" s="22" t="str">
        <f>IF('Food costs - Input data'!C28="","",'Food costs - Input data'!C28)</f>
        <v>drybeans</v>
      </c>
      <c r="E47" s="179">
        <v>21</v>
      </c>
      <c r="F47" s="179">
        <v>1.2</v>
      </c>
      <c r="G47" s="179">
        <v>63</v>
      </c>
      <c r="H47" s="179">
        <v>0.8</v>
      </c>
      <c r="I47" s="140"/>
      <c r="K47" s="134"/>
    </row>
    <row r="48" spans="2:11" x14ac:dyDescent="0.2">
      <c r="B48" s="177"/>
      <c r="C48" s="22" t="str">
        <f>'Food costs - Input data'!B29</f>
        <v>Dairy</v>
      </c>
      <c r="D48" s="22" t="str">
        <f>IF('Food costs - Input data'!C29="","",'Food costs - Input data'!C29)</f>
        <v>Milk</v>
      </c>
      <c r="E48" s="179">
        <v>3.3</v>
      </c>
      <c r="F48" s="179">
        <v>3.4</v>
      </c>
      <c r="G48" s="179">
        <v>5</v>
      </c>
      <c r="H48" s="179">
        <v>1</v>
      </c>
      <c r="I48" s="140"/>
    </row>
    <row r="49" spans="2:17" x14ac:dyDescent="0.2">
      <c r="B49" s="177"/>
      <c r="C49" s="22" t="str">
        <f>'Food costs - Input data'!B30</f>
        <v>Dairy</v>
      </c>
      <c r="D49" s="22" t="str">
        <f>IF('Food costs - Input data'!C30="","",'Food costs - Input data'!C30)</f>
        <v>Youghurt</v>
      </c>
      <c r="E49" s="179">
        <v>3.5</v>
      </c>
      <c r="F49" s="179">
        <v>3.3</v>
      </c>
      <c r="G49" s="179">
        <v>4.7</v>
      </c>
      <c r="H49" s="179">
        <v>0.9</v>
      </c>
      <c r="I49" s="140"/>
    </row>
    <row r="50" spans="2:17" x14ac:dyDescent="0.2">
      <c r="B50" s="177"/>
      <c r="C50" s="22" t="str">
        <f>'Food costs - Input data'!B31</f>
        <v>Dairy</v>
      </c>
      <c r="D50" s="22" t="str">
        <f>IF('Food costs - Input data'!C31="","",'Food costs - Input data'!C31)</f>
        <v>Butter</v>
      </c>
      <c r="E50" s="179">
        <v>0.9</v>
      </c>
      <c r="F50" s="179">
        <v>81</v>
      </c>
      <c r="G50" s="179">
        <v>0.1</v>
      </c>
      <c r="H50" s="179">
        <v>0.9</v>
      </c>
      <c r="I50" s="140"/>
      <c r="K50" s="134"/>
    </row>
    <row r="51" spans="2:17" x14ac:dyDescent="0.2">
      <c r="B51" s="177"/>
      <c r="C51" s="22" t="str">
        <f>'Food costs - Input data'!B32</f>
        <v>Eggs</v>
      </c>
      <c r="D51" s="22" t="str">
        <f>IF('Food costs - Input data'!C32="","",'Food costs - Input data'!C32)</f>
        <v>Eggs</v>
      </c>
      <c r="E51" s="179">
        <v>13</v>
      </c>
      <c r="F51" s="179">
        <v>11</v>
      </c>
      <c r="G51" s="179">
        <v>1.1000000000000001</v>
      </c>
      <c r="H51" s="179">
        <v>0.9</v>
      </c>
      <c r="I51" s="364"/>
    </row>
    <row r="52" spans="2:17" x14ac:dyDescent="0.2">
      <c r="B52" s="177"/>
      <c r="C52" s="22" t="str">
        <f>'Food costs - Input data'!B33</f>
        <v>Eggs</v>
      </c>
      <c r="D52" s="22" t="str">
        <f>IF('Food costs - Input data'!C33="","",'Food costs - Input data'!C33)</f>
        <v>Eggs</v>
      </c>
      <c r="E52" s="180">
        <v>13</v>
      </c>
      <c r="F52" s="180">
        <v>11</v>
      </c>
      <c r="G52" s="180">
        <v>1.1000000000000001</v>
      </c>
      <c r="H52" s="179">
        <v>0.9</v>
      </c>
      <c r="I52" s="140"/>
    </row>
    <row r="53" spans="2:17" x14ac:dyDescent="0.2">
      <c r="B53" s="177"/>
      <c r="C53" s="22" t="str">
        <f>'Food costs - Input data'!B34</f>
        <v>Eggs</v>
      </c>
      <c r="D53" s="22" t="str">
        <f>IF('Food costs - Input data'!C34="","",'Food costs - Input data'!C34)</f>
        <v>Eggs</v>
      </c>
      <c r="E53" s="179">
        <v>13</v>
      </c>
      <c r="F53" s="179">
        <v>11</v>
      </c>
      <c r="G53" s="179">
        <v>1.1000000000000001</v>
      </c>
      <c r="H53" s="179">
        <v>0.6</v>
      </c>
      <c r="I53" s="140"/>
    </row>
    <row r="54" spans="2:17" x14ac:dyDescent="0.2">
      <c r="B54" s="177"/>
      <c r="C54" s="22" t="str">
        <f>'Food costs - Input data'!B35</f>
        <v>Meats</v>
      </c>
      <c r="D54" s="22" t="str">
        <f>IF('Food costs - Input data'!C35="","",'Food costs - Input data'!C35)</f>
        <v>Chicken</v>
      </c>
      <c r="E54" s="180">
        <v>27</v>
      </c>
      <c r="F54" s="180">
        <v>14</v>
      </c>
      <c r="G54" s="180">
        <v>0</v>
      </c>
      <c r="H54" s="179">
        <v>0.6</v>
      </c>
      <c r="I54" s="140"/>
    </row>
    <row r="55" spans="2:17" x14ac:dyDescent="0.2">
      <c r="B55" s="177"/>
      <c r="C55" s="22" t="str">
        <f>'Food costs - Input data'!B36</f>
        <v>Meats</v>
      </c>
      <c r="D55" s="22" t="str">
        <f>IF('Food costs - Input data'!C36="","",'Food costs - Input data'!C36)</f>
        <v>beef</v>
      </c>
      <c r="E55" s="180">
        <v>26</v>
      </c>
      <c r="F55" s="180">
        <v>15</v>
      </c>
      <c r="G55" s="180">
        <v>0</v>
      </c>
      <c r="H55" s="179">
        <v>0.6</v>
      </c>
      <c r="I55" s="140"/>
    </row>
    <row r="56" spans="2:17" x14ac:dyDescent="0.2">
      <c r="B56" s="177"/>
      <c r="C56" s="22" t="str">
        <f>'Food costs - Input data'!B37</f>
        <v>Meats</v>
      </c>
      <c r="D56" s="22" t="str">
        <f>IF('Food costs - Input data'!C37="","",'Food costs - Input data'!C37)</f>
        <v>Goat/Chevon</v>
      </c>
      <c r="E56" s="180">
        <v>27</v>
      </c>
      <c r="F56" s="180">
        <v>3</v>
      </c>
      <c r="G56" s="180">
        <v>0</v>
      </c>
      <c r="H56" s="179">
        <v>0.6</v>
      </c>
      <c r="I56" s="140"/>
      <c r="K56" s="134"/>
    </row>
    <row r="57" spans="2:17" x14ac:dyDescent="0.2">
      <c r="B57" s="177"/>
      <c r="C57" s="22" t="str">
        <f>'Food costs - Input data'!B38</f>
        <v>Fish</v>
      </c>
      <c r="D57" s="22" t="str">
        <f>IF('Food costs - Input data'!C38="","",'Food costs - Input data'!C38)</f>
        <v>Ngege Fresh</v>
      </c>
      <c r="E57" s="180">
        <v>20.100000000000001</v>
      </c>
      <c r="F57" s="180">
        <v>1.7</v>
      </c>
      <c r="G57" s="180">
        <v>0</v>
      </c>
      <c r="H57" s="179">
        <v>0.6</v>
      </c>
      <c r="I57" s="140"/>
    </row>
    <row r="58" spans="2:17" x14ac:dyDescent="0.2">
      <c r="B58" s="177"/>
      <c r="C58" s="22" t="str">
        <f>'Food costs - Input data'!B39</f>
        <v>Fish</v>
      </c>
      <c r="D58" s="22" t="str">
        <f>IF('Food costs - Input data'!C39="","",'Food costs - Input data'!C39)</f>
        <v>Mpuuta</v>
      </c>
      <c r="E58" s="180">
        <v>20.5</v>
      </c>
      <c r="F58" s="180">
        <v>1.8</v>
      </c>
      <c r="G58" s="180">
        <v>0</v>
      </c>
      <c r="H58" s="179">
        <v>0.6</v>
      </c>
      <c r="I58" s="140"/>
      <c r="O58" s="163"/>
      <c r="Q58" s="163"/>
    </row>
    <row r="59" spans="2:17" x14ac:dyDescent="0.2">
      <c r="B59" s="177"/>
      <c r="C59" s="22" t="str">
        <f>'Food costs - Input data'!B40</f>
        <v>Fish</v>
      </c>
      <c r="D59" s="22" t="str">
        <f>IF('Food costs - Input data'!C40="","",'Food costs - Input data'!C40)</f>
        <v>Mukene</v>
      </c>
      <c r="E59" s="180">
        <v>57</v>
      </c>
      <c r="F59" s="180">
        <v>12</v>
      </c>
      <c r="G59" s="180">
        <v>0</v>
      </c>
      <c r="H59" s="179">
        <v>0.6</v>
      </c>
      <c r="I59" s="140"/>
    </row>
    <row r="60" spans="2:17" x14ac:dyDescent="0.2">
      <c r="B60" s="177"/>
      <c r="C60" s="22" t="str">
        <f>'Food costs - Input data'!B41</f>
        <v>Fish</v>
      </c>
      <c r="D60" s="22" t="str">
        <f>IF('Food costs - Input data'!C41="","",'Food costs - Input data'!C41)</f>
        <v>Ngege Dried</v>
      </c>
      <c r="E60" s="180">
        <v>55</v>
      </c>
      <c r="F60" s="180">
        <v>6</v>
      </c>
      <c r="G60" s="180">
        <v>0</v>
      </c>
      <c r="H60" s="179">
        <v>0.6</v>
      </c>
      <c r="I60" s="140"/>
      <c r="L60" s="134"/>
    </row>
    <row r="61" spans="2:17" x14ac:dyDescent="0.2">
      <c r="B61" s="177"/>
      <c r="C61" s="22" t="str">
        <f>'Food costs - Input data'!B42</f>
        <v>Green leafy vegetables</v>
      </c>
      <c r="D61" s="22" t="str">
        <f>IF('Food costs - Input data'!C42="","",'Food costs - Input data'!C42)</f>
        <v>Nakati</v>
      </c>
      <c r="E61" s="180">
        <v>3.5</v>
      </c>
      <c r="F61" s="180">
        <v>0.4</v>
      </c>
      <c r="G61" s="180">
        <v>6</v>
      </c>
      <c r="H61" s="179">
        <v>1</v>
      </c>
      <c r="I61" s="140"/>
    </row>
    <row r="62" spans="2:17" x14ac:dyDescent="0.2">
      <c r="B62" s="177"/>
      <c r="C62" s="22" t="str">
        <f>'Food costs - Input data'!B43</f>
        <v>Green leafy vegetables</v>
      </c>
      <c r="D62" s="22" t="str">
        <f>IF('Food costs - Input data'!C43="","",'Food costs - Input data'!C43)</f>
        <v>Spinach</v>
      </c>
      <c r="E62" s="180">
        <v>2.9</v>
      </c>
      <c r="F62" s="180">
        <v>0.4</v>
      </c>
      <c r="G62" s="180">
        <v>3.6</v>
      </c>
      <c r="H62" s="179">
        <v>1</v>
      </c>
      <c r="I62" s="140"/>
    </row>
    <row r="63" spans="2:17" x14ac:dyDescent="0.2">
      <c r="B63" s="177"/>
      <c r="C63" s="22" t="str">
        <f>'Food costs - Input data'!B44</f>
        <v>Green leafy vegetables</v>
      </c>
      <c r="D63" s="22" t="str">
        <f>IF('Food costs - Input data'!C44="","",'Food costs - Input data'!C44)</f>
        <v>Sukuma</v>
      </c>
      <c r="E63" s="180">
        <v>3.3</v>
      </c>
      <c r="F63" s="180">
        <v>0.7</v>
      </c>
      <c r="G63" s="180">
        <v>8.8000000000000007</v>
      </c>
      <c r="H63" s="179">
        <v>1</v>
      </c>
      <c r="I63" s="140"/>
    </row>
    <row r="64" spans="2:17" x14ac:dyDescent="0.2">
      <c r="B64" s="177"/>
      <c r="C64" s="22" t="str">
        <f>'Food costs - Input data'!B45</f>
        <v>Other vegetables</v>
      </c>
      <c r="D64" s="22" t="str">
        <f>IF('Food costs - Input data'!C45="","",'Food costs - Input data'!C45)</f>
        <v>Doodo</v>
      </c>
      <c r="E64" s="180">
        <v>3.2</v>
      </c>
      <c r="F64" s="180">
        <v>0.5</v>
      </c>
      <c r="G64" s="180">
        <v>7</v>
      </c>
      <c r="H64" s="179">
        <v>1</v>
      </c>
      <c r="I64" s="140"/>
    </row>
    <row r="65" spans="2:9" x14ac:dyDescent="0.2">
      <c r="B65" s="177"/>
      <c r="C65" s="22" t="str">
        <f>'Food costs - Input data'!B46</f>
        <v>Other vegetables</v>
      </c>
      <c r="D65" s="22" t="str">
        <f>IF('Food costs - Input data'!C46="","",'Food costs - Input data'!C46)</f>
        <v>Bbuga</v>
      </c>
      <c r="E65" s="179">
        <v>2.5</v>
      </c>
      <c r="F65" s="179">
        <v>0.3</v>
      </c>
      <c r="G65" s="179">
        <v>6</v>
      </c>
      <c r="H65" s="179">
        <v>1</v>
      </c>
      <c r="I65" s="140"/>
    </row>
    <row r="66" spans="2:9" x14ac:dyDescent="0.2">
      <c r="B66" s="177"/>
      <c r="C66" s="22" t="str">
        <f>'Food costs - Input data'!B47</f>
        <v>Other vegetables</v>
      </c>
      <c r="D66" s="22" t="str">
        <f>IF('Food costs - Input data'!C47="","",'Food costs - Input data'!C47)</f>
        <v>Spring Onions</v>
      </c>
      <c r="E66" s="180">
        <v>1.8</v>
      </c>
      <c r="F66" s="180">
        <v>0.2</v>
      </c>
      <c r="G66" s="180">
        <v>7.3</v>
      </c>
      <c r="H66" s="179">
        <v>1</v>
      </c>
      <c r="I66" s="140"/>
    </row>
    <row r="67" spans="2:9" x14ac:dyDescent="0.2">
      <c r="B67" s="177"/>
      <c r="C67" s="22" t="str">
        <f>'Food costs - Input data'!B48</f>
        <v>Other vegetables</v>
      </c>
      <c r="D67" s="22" t="str">
        <f>IF('Food costs - Input data'!C48="","",'Food costs - Input data'!C48)</f>
        <v>Cabbage</v>
      </c>
      <c r="E67" s="180">
        <v>1.3</v>
      </c>
      <c r="F67" s="180">
        <v>0.1</v>
      </c>
      <c r="G67" s="180">
        <v>6</v>
      </c>
      <c r="H67" s="179">
        <v>1</v>
      </c>
      <c r="I67" s="140"/>
    </row>
    <row r="68" spans="2:9" x14ac:dyDescent="0.2">
      <c r="B68" s="177"/>
      <c r="C68" s="22" t="str">
        <f>'Food costs - Input data'!B49</f>
        <v>Fruits</v>
      </c>
      <c r="D68" s="22" t="str">
        <f>IF('Food costs - Input data'!C49="","",'Food costs - Input data'!C49)</f>
        <v>Water Melon</v>
      </c>
      <c r="E68" s="180">
        <v>0.6</v>
      </c>
      <c r="F68" s="180">
        <v>0.2</v>
      </c>
      <c r="G68" s="180">
        <v>8</v>
      </c>
      <c r="H68" s="179">
        <v>0.8</v>
      </c>
      <c r="I68" s="140"/>
    </row>
    <row r="69" spans="2:9" x14ac:dyDescent="0.2">
      <c r="B69" s="177"/>
      <c r="C69" s="22" t="str">
        <f>'Food costs - Input data'!B50</f>
        <v>Fruits</v>
      </c>
      <c r="D69" s="22" t="str">
        <f>IF('Food costs - Input data'!C50="","",'Food costs - Input data'!C50)</f>
        <v>Mangoes</v>
      </c>
      <c r="E69" s="180">
        <v>0.8</v>
      </c>
      <c r="F69" s="180">
        <v>0.4</v>
      </c>
      <c r="G69" s="180">
        <v>15</v>
      </c>
      <c r="H69" s="179">
        <v>0.8</v>
      </c>
      <c r="I69" s="140"/>
    </row>
    <row r="70" spans="2:9" x14ac:dyDescent="0.2">
      <c r="B70" s="177"/>
      <c r="C70" s="22" t="str">
        <f>'Food costs - Input data'!B51</f>
        <v>Fruits</v>
      </c>
      <c r="D70" s="22" t="str">
        <f>IF('Food costs - Input data'!C51="","",'Food costs - Input data'!C51)</f>
        <v>Bananas</v>
      </c>
      <c r="E70" s="180">
        <v>1.1000000000000001</v>
      </c>
      <c r="F70" s="180">
        <v>0.3</v>
      </c>
      <c r="G70" s="180">
        <v>23</v>
      </c>
      <c r="H70" s="179">
        <v>0.8</v>
      </c>
      <c r="I70" s="140"/>
    </row>
    <row r="71" spans="2:9" x14ac:dyDescent="0.2">
      <c r="B71" s="177"/>
      <c r="C71" s="22" t="str">
        <f>'Food costs - Input data'!B52</f>
        <v>Fruits</v>
      </c>
      <c r="D71" s="22" t="str">
        <f>IF('Food costs - Input data'!C52="","",'Food costs - Input data'!C52)</f>
        <v>Pine Apple</v>
      </c>
      <c r="E71" s="180">
        <v>0.5</v>
      </c>
      <c r="F71" s="180">
        <v>0.1</v>
      </c>
      <c r="G71" s="180">
        <v>13</v>
      </c>
      <c r="H71" s="179">
        <v>0.8</v>
      </c>
      <c r="I71" s="140"/>
    </row>
    <row r="72" spans="2:9" x14ac:dyDescent="0.2">
      <c r="B72" s="177"/>
      <c r="C72" s="22" t="str">
        <f>'Food costs - Input data'!B53</f>
        <v>Oils &amp; Fats</v>
      </c>
      <c r="D72" s="22" t="str">
        <f>IF('Food costs - Input data'!C53="","",'Food costs - Input data'!C53)</f>
        <v>Cooking Oil</v>
      </c>
      <c r="E72" s="180">
        <v>0</v>
      </c>
      <c r="F72" s="180">
        <v>100</v>
      </c>
      <c r="G72" s="180">
        <v>0</v>
      </c>
      <c r="H72" s="179">
        <v>0.8</v>
      </c>
      <c r="I72" s="140"/>
    </row>
    <row r="73" spans="2:9" x14ac:dyDescent="0.2">
      <c r="B73" s="177"/>
      <c r="C73" s="22" t="str">
        <f>'Food costs - Input data'!B54</f>
        <v>Oils &amp; Fats</v>
      </c>
      <c r="D73" s="22" t="str">
        <f>IF('Food costs - Input data'!C54="","",'Food costs - Input data'!C54)</f>
        <v>Cow Ghee</v>
      </c>
      <c r="E73" s="180">
        <v>0.3</v>
      </c>
      <c r="F73" s="180">
        <v>99</v>
      </c>
      <c r="G73" s="180">
        <v>0</v>
      </c>
      <c r="H73" s="179">
        <v>0.8</v>
      </c>
      <c r="I73" s="140"/>
    </row>
    <row r="74" spans="2:9" x14ac:dyDescent="0.2">
      <c r="B74" s="177"/>
      <c r="C74" s="22" t="str">
        <f>'Food costs - Input data'!B55</f>
        <v>Oils &amp; Fats</v>
      </c>
      <c r="D74" s="22" t="str">
        <f>IF('Food costs - Input data'!C55="","",'Food costs - Input data'!C55)</f>
        <v>Processed Fats (Cowboy)</v>
      </c>
      <c r="E74" s="180">
        <v>0.2</v>
      </c>
      <c r="F74" s="180">
        <v>80</v>
      </c>
      <c r="G74" s="180">
        <v>0.7</v>
      </c>
      <c r="H74" s="179">
        <v>0.8</v>
      </c>
      <c r="I74" s="140"/>
    </row>
    <row r="75" spans="2:9" x14ac:dyDescent="0.2">
      <c r="B75" s="177"/>
      <c r="C75" s="22" t="str">
        <f>'Food costs - Input data'!B56</f>
        <v>Nonalcoholic beverages</v>
      </c>
      <c r="D75" s="22" t="str">
        <f>IF('Food costs - Input data'!C56="","",'Food costs - Input data'!C56)</f>
        <v>soda</v>
      </c>
      <c r="E75" s="180">
        <v>0</v>
      </c>
      <c r="F75" s="180">
        <v>0</v>
      </c>
      <c r="G75" s="180">
        <v>0</v>
      </c>
      <c r="H75" s="179">
        <v>1</v>
      </c>
      <c r="I75" s="140"/>
    </row>
    <row r="76" spans="2:9" x14ac:dyDescent="0.2">
      <c r="B76" s="177"/>
      <c r="C76" s="22" t="str">
        <f>'Food costs - Input data'!B57</f>
        <v>Nonalcoholic beverages</v>
      </c>
      <c r="D76" s="22" t="str">
        <f>IF('Food costs - Input data'!C57="","",'Food costs - Input data'!C57)</f>
        <v>soda</v>
      </c>
      <c r="E76" s="180">
        <v>0.1</v>
      </c>
      <c r="F76" s="180">
        <v>0</v>
      </c>
      <c r="G76" s="180">
        <v>0</v>
      </c>
      <c r="H76" s="179">
        <v>1</v>
      </c>
      <c r="I76" s="140"/>
    </row>
    <row r="77" spans="2:9" x14ac:dyDescent="0.2">
      <c r="B77" s="177"/>
      <c r="C77" s="22" t="str">
        <f>'Food costs - Input data'!B58</f>
        <v>Nonalcoholic beverages</v>
      </c>
      <c r="D77" s="22" t="str">
        <f>IF('Food costs - Input data'!C58="","",'Food costs - Input data'!C58)</f>
        <v>soda</v>
      </c>
      <c r="E77" s="180">
        <v>0</v>
      </c>
      <c r="F77" s="180">
        <v>0</v>
      </c>
      <c r="G77" s="180">
        <v>10.6</v>
      </c>
      <c r="H77" s="179">
        <v>1</v>
      </c>
      <c r="I77" s="140"/>
    </row>
    <row r="78" spans="2:9" x14ac:dyDescent="0.2">
      <c r="B78" s="177"/>
      <c r="C78" s="22" t="str">
        <f>'Food costs - Input data'!B59</f>
        <v>Other</v>
      </c>
      <c r="D78" s="22" t="str">
        <f>IF('Food costs - Input data'!C59="","",'Food costs - Input data'!C59)</f>
        <v>Banana Juice</v>
      </c>
      <c r="E78" s="180">
        <v>0</v>
      </c>
      <c r="F78" s="180">
        <v>0</v>
      </c>
      <c r="G78" s="180">
        <v>100</v>
      </c>
      <c r="H78" s="179">
        <v>1</v>
      </c>
      <c r="I78" s="140"/>
    </row>
    <row r="79" spans="2:9" x14ac:dyDescent="0.2">
      <c r="B79" s="177"/>
      <c r="C79" s="22" t="str">
        <f>'Food costs - Input data'!B60</f>
        <v>Other</v>
      </c>
      <c r="D79" s="22" t="str">
        <f>IF('Food costs - Input data'!C60="","",'Food costs - Input data'!C60)</f>
        <v>Pine Apple Juice</v>
      </c>
      <c r="E79" s="180">
        <v>0.3</v>
      </c>
      <c r="F79" s="180">
        <v>0</v>
      </c>
      <c r="G79" s="180">
        <v>82</v>
      </c>
      <c r="H79" s="179">
        <v>1</v>
      </c>
      <c r="I79" s="140"/>
    </row>
    <row r="80" spans="2:9" x14ac:dyDescent="0.2">
      <c r="B80" s="177"/>
      <c r="C80" s="22" t="str">
        <f>'Food costs - Input data'!B61</f>
        <v>Other</v>
      </c>
      <c r="D80" s="22" t="str">
        <f>IF('Food costs - Input data'!C61="","",'Food costs - Input data'!C61)</f>
        <v>Non Alcoholic Kombucha</v>
      </c>
      <c r="E80" s="180">
        <v>0</v>
      </c>
      <c r="F80" s="180">
        <v>0</v>
      </c>
      <c r="G80" s="180">
        <v>0</v>
      </c>
      <c r="H80" s="179">
        <v>1</v>
      </c>
      <c r="I80" s="140"/>
    </row>
    <row r="81" spans="2:24" x14ac:dyDescent="0.2">
      <c r="B81" s="177"/>
      <c r="C81" s="22" t="str">
        <f>'Food costs - Input data'!B62</f>
        <v>Other</v>
      </c>
      <c r="D81" s="22" t="str">
        <f>IF('Food costs - Input data'!C62="","",'Food costs - Input data'!C62)</f>
        <v>Non Alcoholic Kombucha</v>
      </c>
      <c r="E81" s="180">
        <v>10</v>
      </c>
      <c r="F81" s="180">
        <v>5</v>
      </c>
      <c r="G81" s="180">
        <v>40</v>
      </c>
      <c r="H81" s="179">
        <v>1</v>
      </c>
      <c r="I81" s="140"/>
    </row>
    <row r="82" spans="2:24" x14ac:dyDescent="0.2">
      <c r="B82" s="177"/>
      <c r="C82" s="22" t="str">
        <f>'Food costs - Input data'!B63</f>
        <v>Other</v>
      </c>
      <c r="D82" s="22" t="str">
        <f>IF('Food costs - Input data'!C63="","",'Food costs - Input data'!C63)</f>
        <v>Non Alcoholic Kombucha</v>
      </c>
      <c r="E82" s="180">
        <v>2</v>
      </c>
      <c r="F82" s="180">
        <v>1</v>
      </c>
      <c r="G82" s="180">
        <v>10</v>
      </c>
      <c r="H82" s="179">
        <v>1</v>
      </c>
      <c r="I82" s="140"/>
    </row>
    <row r="83" spans="2:24" ht="16" thickBot="1" x14ac:dyDescent="0.25">
      <c r="B83" s="181"/>
      <c r="C83" s="143"/>
      <c r="D83" s="143"/>
      <c r="E83" s="143"/>
      <c r="F83" s="143"/>
      <c r="G83" s="143"/>
      <c r="H83" s="143"/>
      <c r="I83" s="145"/>
    </row>
    <row r="84" spans="2:24" x14ac:dyDescent="0.2">
      <c r="B84" s="60"/>
    </row>
    <row r="85" spans="2:24" ht="21" x14ac:dyDescent="0.25">
      <c r="B85" s="126" t="s">
        <v>316</v>
      </c>
      <c r="C85" s="28"/>
      <c r="D85" s="28"/>
      <c r="E85" s="29"/>
      <c r="F85" s="29"/>
      <c r="G85" s="29"/>
      <c r="H85" s="29"/>
      <c r="I85" s="29"/>
      <c r="J85" s="29"/>
      <c r="K85" s="29"/>
      <c r="L85" s="29"/>
      <c r="M85" s="29"/>
      <c r="N85" s="29"/>
      <c r="O85" s="29"/>
      <c r="P85" s="29"/>
      <c r="Q85" s="29"/>
      <c r="R85" s="29"/>
      <c r="S85" s="29"/>
      <c r="T85" s="29"/>
      <c r="U85" s="29"/>
      <c r="V85" s="29"/>
      <c r="W85" s="29"/>
      <c r="X85" s="29"/>
    </row>
    <row r="87" spans="2:24" ht="19" x14ac:dyDescent="0.25">
      <c r="C87" s="182" t="s">
        <v>52</v>
      </c>
      <c r="D87" s="134"/>
    </row>
    <row r="88" spans="2:24" ht="27" customHeight="1" x14ac:dyDescent="0.2">
      <c r="C88" s="424" t="s">
        <v>488</v>
      </c>
      <c r="D88" s="424"/>
      <c r="E88" s="424"/>
      <c r="F88" s="424"/>
      <c r="G88" s="424"/>
      <c r="H88" s="424"/>
      <c r="I88" s="424"/>
      <c r="J88" s="424"/>
      <c r="K88" s="424"/>
      <c r="L88" s="424"/>
      <c r="M88" s="424"/>
      <c r="N88" s="424"/>
      <c r="O88" s="424"/>
      <c r="P88" s="424"/>
      <c r="Q88" s="424"/>
      <c r="R88" s="424"/>
      <c r="S88" s="424"/>
      <c r="T88" s="424"/>
      <c r="U88" s="424"/>
      <c r="V88" s="424"/>
      <c r="W88" s="424"/>
      <c r="X88" s="424"/>
    </row>
    <row r="89" spans="2:24" ht="27" customHeight="1" x14ac:dyDescent="0.2">
      <c r="C89" s="424"/>
      <c r="D89" s="424"/>
      <c r="E89" s="424"/>
      <c r="F89" s="424"/>
      <c r="G89" s="424"/>
      <c r="H89" s="424"/>
      <c r="I89" s="424"/>
      <c r="J89" s="424"/>
      <c r="K89" s="424"/>
      <c r="L89" s="424"/>
      <c r="M89" s="424"/>
      <c r="N89" s="424"/>
      <c r="O89" s="424"/>
      <c r="P89" s="424"/>
      <c r="Q89" s="424"/>
      <c r="R89" s="424"/>
      <c r="S89" s="424"/>
      <c r="T89" s="424"/>
      <c r="U89" s="424"/>
      <c r="V89" s="424"/>
      <c r="W89" s="424"/>
      <c r="X89" s="424"/>
    </row>
    <row r="90" spans="2:24" x14ac:dyDescent="0.2">
      <c r="C90" s="424"/>
      <c r="D90" s="424"/>
      <c r="E90" s="424"/>
      <c r="F90" s="424"/>
      <c r="G90" s="424"/>
      <c r="H90" s="424"/>
      <c r="I90" s="424"/>
      <c r="J90" s="424"/>
      <c r="K90" s="424"/>
      <c r="L90" s="424"/>
      <c r="M90" s="424"/>
      <c r="N90" s="424"/>
      <c r="O90" s="424"/>
      <c r="P90" s="424"/>
      <c r="Q90" s="424"/>
      <c r="R90" s="424"/>
      <c r="S90" s="424"/>
      <c r="T90" s="424"/>
      <c r="U90" s="424"/>
      <c r="V90" s="424"/>
      <c r="W90" s="424"/>
      <c r="X90" s="424"/>
    </row>
    <row r="91" spans="2:24" x14ac:dyDescent="0.2">
      <c r="C91" s="424"/>
      <c r="D91" s="424"/>
      <c r="E91" s="424"/>
      <c r="F91" s="424"/>
      <c r="G91" s="424"/>
      <c r="H91" s="424"/>
      <c r="I91" s="424"/>
      <c r="J91" s="424"/>
      <c r="K91" s="424"/>
      <c r="L91" s="424"/>
      <c r="M91" s="424"/>
      <c r="N91" s="424"/>
      <c r="O91" s="424"/>
      <c r="P91" s="424"/>
      <c r="Q91" s="424"/>
      <c r="R91" s="424"/>
      <c r="S91" s="424"/>
      <c r="T91" s="424"/>
      <c r="U91" s="424"/>
      <c r="V91" s="424"/>
      <c r="W91" s="424"/>
      <c r="X91" s="424"/>
    </row>
    <row r="92" spans="2:24" ht="46.5" customHeight="1" x14ac:dyDescent="0.2">
      <c r="C92" s="424"/>
      <c r="D92" s="424"/>
      <c r="E92" s="424"/>
      <c r="F92" s="424"/>
      <c r="G92" s="424"/>
      <c r="H92" s="424"/>
      <c r="I92" s="424"/>
      <c r="J92" s="424"/>
      <c r="K92" s="424"/>
      <c r="L92" s="424"/>
      <c r="M92" s="424"/>
      <c r="N92" s="424"/>
      <c r="O92" s="424"/>
      <c r="P92" s="424"/>
      <c r="Q92" s="424"/>
      <c r="R92" s="424"/>
      <c r="S92" s="424"/>
      <c r="T92" s="424"/>
      <c r="U92" s="424"/>
      <c r="V92" s="424"/>
      <c r="W92" s="424"/>
      <c r="X92" s="424"/>
    </row>
    <row r="94" spans="2:24" ht="16" thickBot="1" x14ac:dyDescent="0.25"/>
    <row r="95" spans="2:24" ht="24" x14ac:dyDescent="0.3">
      <c r="B95" s="135"/>
      <c r="C95" s="157" t="s">
        <v>472</v>
      </c>
      <c r="D95" s="158"/>
      <c r="E95" s="137"/>
      <c r="F95" s="138"/>
    </row>
    <row r="96" spans="2:24" ht="24" x14ac:dyDescent="0.3">
      <c r="B96" s="139"/>
      <c r="C96" s="183"/>
      <c r="D96" s="184"/>
      <c r="F96" s="140"/>
    </row>
    <row r="97" spans="2:25" x14ac:dyDescent="0.2">
      <c r="B97" s="139"/>
      <c r="D97" s="88" t="str">
        <f>'3. Food costs'!D33</f>
        <v>Target</v>
      </c>
      <c r="E97" s="88" t="str">
        <f>'3. Food costs'!E33</f>
        <v>Calculated</v>
      </c>
      <c r="F97" s="140"/>
    </row>
    <row r="98" spans="2:25" x14ac:dyDescent="0.2">
      <c r="B98" s="139"/>
      <c r="D98" s="50"/>
      <c r="E98" s="50"/>
      <c r="F98" s="140"/>
    </row>
    <row r="99" spans="2:25" ht="16" x14ac:dyDescent="0.2">
      <c r="B99" s="139"/>
      <c r="C99" s="185" t="s">
        <v>193</v>
      </c>
      <c r="D99" s="186">
        <f>'3. Food costs'!D35</f>
        <v>2767.1366120000007</v>
      </c>
      <c r="E99" s="187">
        <f>'Background calculations'!AC235</f>
        <v>2767.9707463670707</v>
      </c>
      <c r="F99" s="140"/>
    </row>
    <row r="100" spans="2:25" x14ac:dyDescent="0.2">
      <c r="B100" s="139"/>
      <c r="F100" s="140"/>
    </row>
    <row r="101" spans="2:25" x14ac:dyDescent="0.2">
      <c r="B101" s="139"/>
      <c r="C101" s="188" t="s">
        <v>211</v>
      </c>
      <c r="D101" s="186" t="s">
        <v>559</v>
      </c>
      <c r="E101" s="189">
        <f>IFERROR('3. Food costs'!E37,"")</f>
        <v>0.60567382189625896</v>
      </c>
      <c r="F101" s="140"/>
    </row>
    <row r="102" spans="2:25" x14ac:dyDescent="0.2">
      <c r="B102" s="139"/>
      <c r="C102" s="188" t="s">
        <v>194</v>
      </c>
      <c r="D102" s="186" t="str">
        <f>'3. Food costs'!D38</f>
        <v>15 - 30 %</v>
      </c>
      <c r="E102" s="189">
        <f>IFERROR('3. Food costs'!E38,"")</f>
        <v>0.28878968202122285</v>
      </c>
      <c r="F102" s="140"/>
    </row>
    <row r="103" spans="2:25" x14ac:dyDescent="0.2">
      <c r="B103" s="139"/>
      <c r="C103" s="188" t="s">
        <v>201</v>
      </c>
      <c r="D103" s="186" t="s">
        <v>558</v>
      </c>
      <c r="E103" s="189">
        <f>IFERROR('3. Food costs'!E41,"")</f>
        <v>0.1997925776103012</v>
      </c>
      <c r="F103" s="140"/>
    </row>
    <row r="104" spans="2:25" x14ac:dyDescent="0.2">
      <c r="B104" s="139"/>
      <c r="C104" s="190" t="s">
        <v>202</v>
      </c>
      <c r="F104" s="140"/>
    </row>
    <row r="105" spans="2:25" ht="16" thickBot="1" x14ac:dyDescent="0.25">
      <c r="B105" s="142"/>
      <c r="C105" s="191"/>
      <c r="D105" s="192"/>
      <c r="E105" s="143"/>
      <c r="F105" s="145"/>
    </row>
    <row r="108" spans="2:25" ht="16" thickBot="1" x14ac:dyDescent="0.25"/>
    <row r="109" spans="2:25" ht="24" x14ac:dyDescent="0.3">
      <c r="B109" s="156"/>
      <c r="C109" s="157" t="s">
        <v>303</v>
      </c>
      <c r="D109" s="157"/>
      <c r="E109" s="157"/>
      <c r="F109" s="157"/>
      <c r="G109" s="157"/>
      <c r="H109" s="157"/>
      <c r="I109" s="157"/>
      <c r="J109" s="157"/>
      <c r="K109" s="159"/>
      <c r="M109" s="193"/>
      <c r="N109" s="193"/>
      <c r="O109" s="193"/>
      <c r="P109" s="193"/>
      <c r="Q109" s="193"/>
      <c r="R109" s="193"/>
      <c r="S109" s="193"/>
      <c r="T109" s="193"/>
      <c r="U109" s="193"/>
      <c r="V109" s="193"/>
      <c r="W109" s="193"/>
      <c r="X109" s="193"/>
      <c r="Y109" s="193"/>
    </row>
    <row r="110" spans="2:25" x14ac:dyDescent="0.2">
      <c r="B110" s="139"/>
      <c r="F110" s="427" t="s">
        <v>152</v>
      </c>
      <c r="G110" s="427"/>
      <c r="H110" s="427" t="s">
        <v>608</v>
      </c>
      <c r="I110" s="427"/>
      <c r="J110" s="376" t="s">
        <v>152</v>
      </c>
      <c r="K110" s="140"/>
    </row>
    <row r="111" spans="2:25" x14ac:dyDescent="0.2">
      <c r="B111" s="139"/>
      <c r="C111" s="194" t="s">
        <v>410</v>
      </c>
      <c r="D111" s="194" t="s">
        <v>101</v>
      </c>
      <c r="E111" s="194" t="s">
        <v>167</v>
      </c>
      <c r="F111" s="195" t="s">
        <v>212</v>
      </c>
      <c r="G111" s="195" t="s">
        <v>213</v>
      </c>
      <c r="H111" s="195" t="s">
        <v>212</v>
      </c>
      <c r="I111" s="195" t="s">
        <v>213</v>
      </c>
      <c r="J111" s="195" t="s">
        <v>546</v>
      </c>
      <c r="K111" s="140"/>
      <c r="M111" s="196" t="s">
        <v>453</v>
      </c>
      <c r="N111" s="196"/>
      <c r="O111" s="196"/>
      <c r="P111" s="196"/>
      <c r="Q111" s="196"/>
      <c r="R111" s="196"/>
      <c r="S111" s="196"/>
      <c r="T111" s="196"/>
      <c r="U111" s="196"/>
      <c r="V111" s="196"/>
      <c r="W111" s="196"/>
      <c r="X111" s="196"/>
      <c r="Y111" s="196"/>
    </row>
    <row r="112" spans="2:25" x14ac:dyDescent="0.2">
      <c r="B112" s="139"/>
      <c r="C112" s="22" t="s">
        <v>102</v>
      </c>
      <c r="D112" s="22" t="str">
        <f>IF(OR(_xlfn.XLOOKUP(C112&amp;'Background calculations'!D216,Table2[lookup],Table2[Item],"") = 0,_xlfn.XLOOKUP(C112&amp;'Background calculations'!D216,Table2[lookup],Table2[Item],"") = ""),"",_xlfn.XLOOKUP(C112&amp;'Background calculations'!D216,Table2[lookup],Table2[Item],"item not available"))</f>
        <v>Rice 2</v>
      </c>
      <c r="E112" s="197" t="s">
        <v>203</v>
      </c>
      <c r="F112" s="392">
        <v>270</v>
      </c>
      <c r="G112" s="392">
        <v>300</v>
      </c>
      <c r="H112" s="198">
        <f>F112/_xlfn.XLOOKUP($D112,Table2[Item],Table2[Edible portion])</f>
        <v>270</v>
      </c>
      <c r="I112" s="198">
        <f>G112/_xlfn.XLOOKUP($D112,Table2[Item],Table2[Edible portion])</f>
        <v>300</v>
      </c>
      <c r="J112" s="322">
        <f>'Background calculations'!AB216</f>
        <v>289.86130753986498</v>
      </c>
      <c r="K112" s="321"/>
      <c r="M112" s="199" t="s">
        <v>547</v>
      </c>
      <c r="N112" s="200"/>
      <c r="O112" s="200"/>
      <c r="P112" s="200"/>
      <c r="Q112" s="200"/>
      <c r="R112" s="200"/>
      <c r="S112" s="200"/>
      <c r="T112" s="200"/>
      <c r="U112" s="200"/>
      <c r="V112" s="200"/>
      <c r="W112" s="200"/>
      <c r="X112" s="201"/>
      <c r="Y112" s="201"/>
    </row>
    <row r="113" spans="2:25" x14ac:dyDescent="0.2">
      <c r="B113" s="139"/>
      <c r="C113" s="22" t="s">
        <v>22</v>
      </c>
      <c r="D113" s="22" t="str">
        <f>IF(OR(_xlfn.XLOOKUP(C113&amp;'Background calculations'!D217,Table2[lookup],Table2[Item],"") = 0,_xlfn.XLOOKUP(C113&amp;'Background calculations'!D217,Table2[lookup],Table2[Item],"") = ""),"",_xlfn.XLOOKUP(C113&amp;'Background calculations'!D217,Table2[lookup],Table2[Item],"item not available"))</f>
        <v>Bread</v>
      </c>
      <c r="E113" s="197" t="s">
        <v>205</v>
      </c>
      <c r="F113" s="198">
        <v>50</v>
      </c>
      <c r="G113" s="392">
        <v>75</v>
      </c>
      <c r="H113" s="198">
        <f>F113/_xlfn.XLOOKUP($D113,Table2[Item],Table2[Edible portion])</f>
        <v>50</v>
      </c>
      <c r="I113" s="198">
        <f>G113/_xlfn.XLOOKUP($D113,Table2[Item],Table2[Edible portion])</f>
        <v>75</v>
      </c>
      <c r="J113" s="322">
        <f>'Background calculations'!AB217</f>
        <v>68.199850879903366</v>
      </c>
      <c r="K113" s="321"/>
      <c r="M113" s="199" t="s">
        <v>548</v>
      </c>
      <c r="N113" s="200"/>
      <c r="O113" s="200"/>
      <c r="P113" s="200"/>
      <c r="Q113" s="200"/>
      <c r="R113" s="200"/>
      <c r="S113" s="200"/>
      <c r="T113" s="200"/>
      <c r="U113" s="200"/>
      <c r="V113" s="200"/>
      <c r="W113" s="200"/>
      <c r="X113" s="201"/>
      <c r="Y113" s="201"/>
    </row>
    <row r="114" spans="2:25" x14ac:dyDescent="0.2">
      <c r="B114" s="139"/>
      <c r="C114" s="22" t="s">
        <v>103</v>
      </c>
      <c r="D114" s="22" t="str">
        <f>IF(OR(_xlfn.XLOOKUP(C114&amp;'Background calculations'!D218,Table2[lookup],Table2[Item],"") = 0,_xlfn.XLOOKUP(C114&amp;'Background calculations'!D218,Table2[lookup],Table2[Item],"") = ""),"",_xlfn.XLOOKUP(C114&amp;'Background calculations'!D218,Table2[lookup],Table2[Item],"item not available"))</f>
        <v>Cassava</v>
      </c>
      <c r="E114" s="197" t="s">
        <v>203</v>
      </c>
      <c r="F114" s="198">
        <v>200</v>
      </c>
      <c r="G114" s="392">
        <v>300</v>
      </c>
      <c r="H114" s="198">
        <f>F114/_xlfn.XLOOKUP($D114,Table2[Item],Table2[Edible portion])</f>
        <v>250</v>
      </c>
      <c r="I114" s="198">
        <f>G114/_xlfn.XLOOKUP($D114,Table2[Item],Table2[Edible portion])</f>
        <v>375</v>
      </c>
      <c r="J114" s="322">
        <f>'Background calculations'!AB218</f>
        <v>236.12455030126978</v>
      </c>
      <c r="K114" s="321"/>
      <c r="M114" s="199" t="s">
        <v>549</v>
      </c>
      <c r="N114" s="200"/>
      <c r="O114" s="200"/>
      <c r="P114" s="200"/>
      <c r="Q114" s="200"/>
      <c r="R114" s="200"/>
      <c r="S114" s="200"/>
      <c r="T114" s="200"/>
      <c r="U114" s="200"/>
      <c r="V114" s="200"/>
      <c r="W114" s="200"/>
      <c r="X114" s="201"/>
      <c r="Y114" s="201"/>
    </row>
    <row r="115" spans="2:25" x14ac:dyDescent="0.2">
      <c r="B115" s="139"/>
      <c r="C115" s="22" t="s">
        <v>23</v>
      </c>
      <c r="D115" s="22" t="str">
        <f>IF(OR(_xlfn.XLOOKUP(C115&amp;'Background calculations'!D219,Table2[lookup],Table2[Item],"") = 0,_xlfn.XLOOKUP(C115&amp;'Background calculations'!D219,Table2[lookup],Table2[Item],"") = ""),"",_xlfn.XLOOKUP(C115&amp;'Background calculations'!D219,Table2[lookup],Table2[Item],"item not available"))</f>
        <v>Matooke</v>
      </c>
      <c r="E115" s="197" t="s">
        <v>203</v>
      </c>
      <c r="F115" s="198">
        <v>80</v>
      </c>
      <c r="G115" s="392">
        <v>160</v>
      </c>
      <c r="H115" s="198">
        <f>F115/_xlfn.XLOOKUP($D115,Table2[Item],Table2[Edible portion])</f>
        <v>100</v>
      </c>
      <c r="I115" s="198">
        <f>G115/_xlfn.XLOOKUP($D115,Table2[Item],Table2[Edible portion])</f>
        <v>200</v>
      </c>
      <c r="J115" s="322">
        <f>'Background calculations'!AB219</f>
        <v>160</v>
      </c>
      <c r="K115" s="321"/>
      <c r="M115" s="199" t="s">
        <v>550</v>
      </c>
      <c r="N115" s="200"/>
      <c r="O115" s="200"/>
      <c r="P115" s="200"/>
      <c r="Q115" s="200"/>
      <c r="R115" s="200"/>
      <c r="S115" s="200"/>
      <c r="T115" s="200"/>
      <c r="U115" s="200"/>
      <c r="V115" s="200"/>
      <c r="W115" s="200"/>
      <c r="X115" s="201"/>
      <c r="Y115" s="201"/>
    </row>
    <row r="116" spans="2:25" x14ac:dyDescent="0.2">
      <c r="B116" s="139"/>
      <c r="C116" s="22" t="s">
        <v>104</v>
      </c>
      <c r="D116" s="22" t="str">
        <f>IF(OR(_xlfn.XLOOKUP(C116&amp;'Background calculations'!D220,Table2[lookup],Table2[Item],"") = 0,_xlfn.XLOOKUP(C116&amp;'Background calculations'!D220,Table2[lookup],Table2[Item],"") = ""),"",_xlfn.XLOOKUP(C116&amp;'Background calculations'!D220,Table2[lookup],Table2[Item],"item not available"))</f>
        <v>Groundnuts</v>
      </c>
      <c r="E116" s="197" t="s">
        <v>203</v>
      </c>
      <c r="F116" s="198">
        <v>28</v>
      </c>
      <c r="G116" s="392">
        <v>84</v>
      </c>
      <c r="H116" s="198">
        <f>F116/_xlfn.XLOOKUP($D116,Table2[Item],Table2[Edible portion])</f>
        <v>35</v>
      </c>
      <c r="I116" s="198">
        <f>G116/_xlfn.XLOOKUP($D116,Table2[Item],Table2[Edible portion])</f>
        <v>105</v>
      </c>
      <c r="J116" s="322">
        <f>'Background calculations'!AB220</f>
        <v>41.463411280024395</v>
      </c>
      <c r="K116" s="321"/>
      <c r="M116" s="199" t="s">
        <v>551</v>
      </c>
      <c r="N116" s="200"/>
      <c r="O116" s="200"/>
      <c r="P116" s="200"/>
      <c r="Q116" s="200"/>
      <c r="R116" s="200"/>
      <c r="S116" s="200"/>
      <c r="T116" s="200"/>
      <c r="U116" s="200"/>
      <c r="V116" s="200"/>
      <c r="W116" s="200"/>
      <c r="X116" s="201"/>
      <c r="Y116" s="201"/>
    </row>
    <row r="117" spans="2:25" x14ac:dyDescent="0.2">
      <c r="B117" s="139"/>
      <c r="C117" s="22" t="s">
        <v>104</v>
      </c>
      <c r="D117" s="22" t="str">
        <f>IF(OR(_xlfn.XLOOKUP(C117&amp;'Background calculations'!D221,Table2[lookup],Table2[Item],"") = 0,_xlfn.XLOOKUP(C117&amp;'Background calculations'!D221,Table2[lookup],Table2[Item],"") = ""),"",_xlfn.XLOOKUP(C117&amp;'Background calculations'!D221,Table2[lookup],Table2[Item],"item not available"))</f>
        <v>Groundnuts</v>
      </c>
      <c r="E117" s="197" t="s">
        <v>203</v>
      </c>
      <c r="F117" s="198">
        <v>28</v>
      </c>
      <c r="G117" s="392">
        <v>84</v>
      </c>
      <c r="H117" s="198">
        <f>F117/_xlfn.XLOOKUP($D117,Table2[Item],Table2[Edible portion])</f>
        <v>35</v>
      </c>
      <c r="I117" s="198">
        <f>G117/_xlfn.XLOOKUP($D117,Table2[Item],Table2[Edible portion])</f>
        <v>105</v>
      </c>
      <c r="J117" s="322">
        <f>'Background calculations'!AB221</f>
        <v>41.463411280024395</v>
      </c>
      <c r="K117" s="321"/>
      <c r="M117" s="199" t="s">
        <v>551</v>
      </c>
      <c r="N117" s="200"/>
      <c r="O117" s="200"/>
      <c r="P117" s="200"/>
      <c r="Q117" s="200"/>
      <c r="R117" s="200"/>
      <c r="S117" s="200"/>
      <c r="T117" s="200"/>
      <c r="U117" s="200"/>
      <c r="V117" s="200"/>
      <c r="W117" s="200"/>
      <c r="X117" s="201"/>
      <c r="Y117" s="201"/>
    </row>
    <row r="118" spans="2:25" x14ac:dyDescent="0.2">
      <c r="B118" s="139"/>
      <c r="C118" s="22" t="s">
        <v>24</v>
      </c>
      <c r="D118" s="22" t="str">
        <f>IF(OR(_xlfn.XLOOKUP(C118&amp;'Background calculations'!D222,Table2[lookup],Table2[Item],"") = 0,_xlfn.XLOOKUP(C118&amp;'Background calculations'!D222,Table2[lookup],Table2[Item],"") = ""),"",_xlfn.XLOOKUP(C118&amp;'Background calculations'!D222,Table2[lookup],Table2[Item],"item not available"))</f>
        <v>Youghurt</v>
      </c>
      <c r="E118" s="197" t="s">
        <v>204</v>
      </c>
      <c r="F118" s="198">
        <v>60</v>
      </c>
      <c r="G118" s="392">
        <v>60</v>
      </c>
      <c r="H118" s="198">
        <f>F118/_xlfn.XLOOKUP($D118,Table2[Item],Table2[Edible portion])</f>
        <v>66.666666666666671</v>
      </c>
      <c r="I118" s="198">
        <f>G118/_xlfn.XLOOKUP($D118,Table2[Item],Table2[Edible portion])</f>
        <v>66.666666666666671</v>
      </c>
      <c r="J118" s="322">
        <f>'Background calculations'!AB222</f>
        <v>60</v>
      </c>
      <c r="K118" s="321"/>
      <c r="M118" s="199" t="s">
        <v>552</v>
      </c>
      <c r="N118" s="200"/>
      <c r="O118" s="200"/>
      <c r="P118" s="200"/>
      <c r="Q118" s="200"/>
      <c r="R118" s="200"/>
      <c r="S118" s="200"/>
      <c r="T118" s="200"/>
      <c r="U118" s="200"/>
      <c r="V118" s="200"/>
      <c r="W118" s="200"/>
      <c r="X118" s="201"/>
      <c r="Y118" s="201"/>
    </row>
    <row r="119" spans="2:25" x14ac:dyDescent="0.2">
      <c r="B119" s="139"/>
      <c r="C119" s="22" t="s">
        <v>25</v>
      </c>
      <c r="D119" s="22" t="str">
        <f>IF(OR(_xlfn.XLOOKUP(C119&amp;'Background calculations'!D223,Table2[lookup],Table2[Item],"") = 0,_xlfn.XLOOKUP(C119&amp;'Background calculations'!D223,Table2[lookup],Table2[Item],"") = ""),"",_xlfn.XLOOKUP(C119&amp;'Background calculations'!D223,Table2[lookup],Table2[Item],"item not available"))</f>
        <v>Eggs</v>
      </c>
      <c r="E119" s="197" t="s">
        <v>203</v>
      </c>
      <c r="F119" s="198">
        <v>15</v>
      </c>
      <c r="G119" s="392">
        <v>30</v>
      </c>
      <c r="H119" s="198">
        <f>F119/_xlfn.XLOOKUP($D119,Table2[Item],Table2[Edible portion])</f>
        <v>16.666666666666668</v>
      </c>
      <c r="I119" s="198">
        <f>G119/_xlfn.XLOOKUP($D119,Table2[Item],Table2[Edible portion])</f>
        <v>33.333333333333336</v>
      </c>
      <c r="J119" s="322">
        <f>'Background calculations'!AB223</f>
        <v>28.883062547016085</v>
      </c>
      <c r="K119" s="321"/>
      <c r="M119" s="199" t="s">
        <v>553</v>
      </c>
      <c r="N119" s="200"/>
      <c r="O119" s="200"/>
      <c r="P119" s="200"/>
      <c r="Q119" s="200"/>
      <c r="R119" s="200"/>
      <c r="S119" s="200"/>
      <c r="T119" s="200"/>
      <c r="U119" s="200"/>
      <c r="V119" s="200"/>
      <c r="W119" s="200"/>
      <c r="X119" s="201"/>
      <c r="Y119" s="201"/>
    </row>
    <row r="120" spans="2:25" x14ac:dyDescent="0.2">
      <c r="B120" s="139"/>
      <c r="C120" s="22" t="s">
        <v>163</v>
      </c>
      <c r="D120" s="22" t="str">
        <f>IF(OR(_xlfn.XLOOKUP(C120&amp;'Background calculations'!D224,Table2[lookup],Table2[Item],"") = 0,_xlfn.XLOOKUP(C120&amp;'Background calculations'!D224,Table2[lookup],Table2[Item],"") = ""),"",_xlfn.XLOOKUP(C120&amp;'Background calculations'!D224,Table2[lookup],Table2[Item],"item not available"))</f>
        <v>beef</v>
      </c>
      <c r="E120" s="197" t="s">
        <v>203</v>
      </c>
      <c r="F120" s="198">
        <v>12</v>
      </c>
      <c r="G120" s="392">
        <v>48</v>
      </c>
      <c r="H120" s="198">
        <f>F120/_xlfn.XLOOKUP($D120,Table2[Item],Table2[Edible portion])</f>
        <v>20</v>
      </c>
      <c r="I120" s="198">
        <f>G120/_xlfn.XLOOKUP($D120,Table2[Item],Table2[Edible portion])</f>
        <v>80</v>
      </c>
      <c r="J120" s="322">
        <f>'Background calculations'!AB224</f>
        <v>14.791081698765039</v>
      </c>
      <c r="K120" s="321"/>
      <c r="M120" s="199" t="s">
        <v>454</v>
      </c>
      <c r="N120" s="200"/>
      <c r="O120" s="200"/>
      <c r="P120" s="200"/>
      <c r="Q120" s="200"/>
      <c r="R120" s="200"/>
      <c r="S120" s="200"/>
      <c r="T120" s="200"/>
      <c r="U120" s="200"/>
      <c r="V120" s="200"/>
      <c r="W120" s="200"/>
      <c r="X120" s="201"/>
      <c r="Y120" s="201"/>
    </row>
    <row r="121" spans="2:25" x14ac:dyDescent="0.2">
      <c r="B121" s="139"/>
      <c r="C121" s="22" t="s">
        <v>162</v>
      </c>
      <c r="D121" s="22" t="str">
        <f>IF(OR(_xlfn.XLOOKUP(C121&amp;'Background calculations'!D225,Table2[lookup],Table2[Item],"") = 0,_xlfn.XLOOKUP(C121&amp;'Background calculations'!D225,Table2[lookup],Table2[Item],"") = ""),"",_xlfn.XLOOKUP(C121&amp;'Background calculations'!D225,Table2[lookup],Table2[Item],"item not available"))</f>
        <v>Ngege Fresh</v>
      </c>
      <c r="E121" s="197" t="s">
        <v>205</v>
      </c>
      <c r="F121" s="198">
        <v>12</v>
      </c>
      <c r="G121" s="392">
        <v>12</v>
      </c>
      <c r="H121" s="198">
        <f>F121/_xlfn.XLOOKUP($D121,Table2[Item],Table2[Edible portion])</f>
        <v>20</v>
      </c>
      <c r="I121" s="198">
        <f>G121/_xlfn.XLOOKUP($D121,Table2[Item],Table2[Edible portion])</f>
        <v>20</v>
      </c>
      <c r="J121" s="322">
        <f>'Background calculations'!AB225</f>
        <v>12</v>
      </c>
      <c r="K121" s="321"/>
      <c r="M121" s="199" t="s">
        <v>455</v>
      </c>
      <c r="N121" s="200"/>
      <c r="O121" s="200"/>
      <c r="P121" s="200"/>
      <c r="Q121" s="200"/>
      <c r="R121" s="200"/>
      <c r="S121" s="200"/>
      <c r="T121" s="200"/>
      <c r="U121" s="200"/>
      <c r="V121" s="200"/>
      <c r="W121" s="200"/>
      <c r="X121" s="201"/>
      <c r="Y121" s="201"/>
    </row>
    <row r="122" spans="2:25" x14ac:dyDescent="0.2">
      <c r="B122" s="139"/>
      <c r="C122" s="22" t="s">
        <v>105</v>
      </c>
      <c r="D122" s="22" t="str">
        <f>IF(OR(_xlfn.XLOOKUP(C122&amp;'Background calculations'!D226,Table2[lookup],Table2[Item],"") = 0,_xlfn.XLOOKUP(C122&amp;'Background calculations'!D226,Table2[lookup],Table2[Item],"") = ""),"",_xlfn.XLOOKUP(C122&amp;'Background calculations'!D226,Table2[lookup],Table2[Item],"item not available"))</f>
        <v>Sukuma</v>
      </c>
      <c r="E122" s="197" t="s">
        <v>203</v>
      </c>
      <c r="F122" s="198">
        <v>75</v>
      </c>
      <c r="G122" s="392">
        <v>100</v>
      </c>
      <c r="H122" s="198">
        <f>F122/_xlfn.XLOOKUP($D122,Table2[Item],Table2[Edible portion])</f>
        <v>75</v>
      </c>
      <c r="I122" s="198">
        <f>G122/_xlfn.XLOOKUP($D122,Table2[Item],Table2[Edible portion])</f>
        <v>100</v>
      </c>
      <c r="J122" s="322">
        <f>'Background calculations'!AB226</f>
        <v>100</v>
      </c>
      <c r="K122" s="321"/>
      <c r="M122" s="199" t="s">
        <v>554</v>
      </c>
      <c r="N122" s="200"/>
      <c r="O122" s="200"/>
      <c r="P122" s="200"/>
      <c r="Q122" s="200"/>
      <c r="R122" s="200"/>
      <c r="S122" s="200"/>
      <c r="T122" s="200"/>
      <c r="U122" s="200"/>
      <c r="V122" s="200"/>
      <c r="W122" s="200"/>
      <c r="X122" s="201"/>
      <c r="Y122" s="201"/>
    </row>
    <row r="123" spans="2:25" x14ac:dyDescent="0.2">
      <c r="B123" s="139"/>
      <c r="C123" s="22" t="s">
        <v>26</v>
      </c>
      <c r="D123" s="22" t="str">
        <f>IF(OR(_xlfn.XLOOKUP(C123&amp;'Background calculations'!D227,Table2[lookup],Table2[Item],"") = 0,_xlfn.XLOOKUP(C123&amp;'Background calculations'!D227,Table2[lookup],Table2[Item],"") = ""),"",_xlfn.XLOOKUP(C123&amp;'Background calculations'!D227,Table2[lookup],Table2[Item],"item not available"))</f>
        <v>Doodo</v>
      </c>
      <c r="E123" s="197" t="s">
        <v>203</v>
      </c>
      <c r="F123" s="198">
        <v>41</v>
      </c>
      <c r="G123" s="392">
        <v>60</v>
      </c>
      <c r="H123" s="198">
        <f>F123/_xlfn.XLOOKUP($D123,Table2[Item],Table2[Edible portion])</f>
        <v>41</v>
      </c>
      <c r="I123" s="198">
        <f>G123/_xlfn.XLOOKUP($D123,Table2[Item],Table2[Edible portion])</f>
        <v>60</v>
      </c>
      <c r="J123" s="322">
        <f>'Background calculations'!AB227</f>
        <v>60</v>
      </c>
      <c r="K123" s="321"/>
      <c r="M123" s="199" t="s">
        <v>555</v>
      </c>
      <c r="N123" s="200"/>
      <c r="O123" s="200"/>
      <c r="P123" s="200"/>
      <c r="Q123" s="200"/>
      <c r="R123" s="200"/>
      <c r="S123" s="200"/>
      <c r="T123" s="200"/>
      <c r="U123" s="200"/>
      <c r="V123" s="200"/>
      <c r="W123" s="200"/>
      <c r="X123" s="201"/>
      <c r="Y123" s="201"/>
    </row>
    <row r="124" spans="2:25" x14ac:dyDescent="0.2">
      <c r="B124" s="139"/>
      <c r="C124" s="22" t="s">
        <v>26</v>
      </c>
      <c r="D124" s="22" t="str">
        <f>IF(OR(_xlfn.XLOOKUP(C124&amp;'Background calculations'!D228,Table2[lookup],Table2[Item],"") = 0,_xlfn.XLOOKUP(C124&amp;'Background calculations'!D228,Table2[lookup],Table2[Item],"") = ""),"",_xlfn.XLOOKUP(C124&amp;'Background calculations'!D228,Table2[lookup],Table2[Item],"item not available"))</f>
        <v>Spring Onions</v>
      </c>
      <c r="E124" s="197" t="s">
        <v>204</v>
      </c>
      <c r="F124" s="198">
        <v>41</v>
      </c>
      <c r="G124" s="392">
        <v>60</v>
      </c>
      <c r="H124" s="198">
        <f>F124/_xlfn.XLOOKUP($D124,Table2[Item],Table2[Edible portion])</f>
        <v>41</v>
      </c>
      <c r="I124" s="198">
        <f>G124/_xlfn.XLOOKUP($D124,Table2[Item],Table2[Edible portion])</f>
        <v>60</v>
      </c>
      <c r="J124" s="322">
        <f>'Background calculations'!AB228</f>
        <v>60</v>
      </c>
      <c r="K124" s="321"/>
      <c r="M124" s="199" t="s">
        <v>555</v>
      </c>
      <c r="N124" s="200"/>
      <c r="O124" s="200"/>
      <c r="P124" s="200"/>
      <c r="Q124" s="200"/>
      <c r="R124" s="200"/>
      <c r="S124" s="200"/>
      <c r="T124" s="200"/>
      <c r="U124" s="200"/>
      <c r="V124" s="200"/>
      <c r="W124" s="200"/>
      <c r="X124" s="201"/>
      <c r="Y124" s="201"/>
    </row>
    <row r="125" spans="2:25" x14ac:dyDescent="0.2">
      <c r="B125" s="139"/>
      <c r="C125" s="22" t="s">
        <v>26</v>
      </c>
      <c r="D125" s="22" t="str">
        <f>IF(OR(_xlfn.XLOOKUP(C125&amp;'Background calculations'!D229,Table2[lookup],Table2[Item],"") = 0,_xlfn.XLOOKUP(C125&amp;'Background calculations'!D229,Table2[lookup],Table2[Item],"") = ""),"",_xlfn.XLOOKUP(C125&amp;'Background calculations'!D229,Table2[lookup],Table2[Item],"item not available"))</f>
        <v>Bbuga</v>
      </c>
      <c r="E125" s="197" t="s">
        <v>205</v>
      </c>
      <c r="F125" s="198">
        <v>41</v>
      </c>
      <c r="G125" s="392">
        <v>60</v>
      </c>
      <c r="H125" s="198">
        <f>F125/_xlfn.XLOOKUP($D125,Table2[Item],Table2[Edible portion])</f>
        <v>41</v>
      </c>
      <c r="I125" s="198">
        <f>G125/_xlfn.XLOOKUP($D125,Table2[Item],Table2[Edible portion])</f>
        <v>60</v>
      </c>
      <c r="J125" s="322">
        <f>'Background calculations'!AB229</f>
        <v>60</v>
      </c>
      <c r="K125" s="321"/>
      <c r="M125" s="199" t="s">
        <v>555</v>
      </c>
      <c r="N125" s="200"/>
      <c r="O125" s="200"/>
      <c r="P125" s="200"/>
      <c r="Q125" s="200"/>
      <c r="R125" s="200"/>
      <c r="S125" s="200"/>
      <c r="T125" s="200"/>
      <c r="U125" s="200"/>
      <c r="V125" s="200"/>
      <c r="W125" s="200"/>
      <c r="X125" s="201"/>
      <c r="Y125" s="201"/>
    </row>
    <row r="126" spans="2:25" x14ac:dyDescent="0.2">
      <c r="B126" s="139"/>
      <c r="C126" s="22" t="s">
        <v>27</v>
      </c>
      <c r="D126" s="22" t="str">
        <f>IF(OR(_xlfn.XLOOKUP(C126&amp;'Background calculations'!D230,Table2[lookup],Table2[Item],"") = 0,_xlfn.XLOOKUP(C126&amp;'Background calculations'!D230,Table2[lookup],Table2[Item],"") = ""),"",_xlfn.XLOOKUP(C126&amp;'Background calculations'!D230,Table2[lookup],Table2[Item],"item not available"))</f>
        <v>Pine Apple</v>
      </c>
      <c r="E126" s="197" t="s">
        <v>204</v>
      </c>
      <c r="F126" s="198">
        <v>50</v>
      </c>
      <c r="G126" s="392">
        <v>60</v>
      </c>
      <c r="H126" s="198">
        <f>F126/_xlfn.XLOOKUP($D126,Table2[Item],Table2[Edible portion])</f>
        <v>62.5</v>
      </c>
      <c r="I126" s="198">
        <f>G126/_xlfn.XLOOKUP($D126,Table2[Item],Table2[Edible portion])</f>
        <v>75</v>
      </c>
      <c r="J126" s="322">
        <f>'Background calculations'!AB230</f>
        <v>60</v>
      </c>
      <c r="K126" s="321"/>
      <c r="M126" s="199" t="s">
        <v>556</v>
      </c>
      <c r="N126" s="200"/>
      <c r="O126" s="200"/>
      <c r="P126" s="200"/>
      <c r="Q126" s="200"/>
      <c r="R126" s="200"/>
      <c r="S126" s="200"/>
      <c r="T126" s="200"/>
      <c r="U126" s="200"/>
      <c r="V126" s="200"/>
      <c r="W126" s="200"/>
      <c r="X126" s="201"/>
      <c r="Y126" s="201"/>
    </row>
    <row r="127" spans="2:25" x14ac:dyDescent="0.2">
      <c r="B127" s="139"/>
      <c r="C127" s="22" t="s">
        <v>27</v>
      </c>
      <c r="D127" s="22" t="str">
        <f>IF(OR(_xlfn.XLOOKUP(C127&amp;'Background calculations'!D231,Table2[lookup],Table2[Item],"") = 0,_xlfn.XLOOKUP(C127&amp;'Background calculations'!D231,Table2[lookup],Table2[Item],"") = ""),"",_xlfn.XLOOKUP(C127&amp;'Background calculations'!D231,Table2[lookup],Table2[Item],"item not available"))</f>
        <v>Pine Apple</v>
      </c>
      <c r="E127" s="197" t="s">
        <v>204</v>
      </c>
      <c r="F127" s="198">
        <v>50</v>
      </c>
      <c r="G127" s="392">
        <v>60</v>
      </c>
      <c r="H127" s="198">
        <f>F127/_xlfn.XLOOKUP($D127,Table2[Item],Table2[Edible portion])</f>
        <v>62.5</v>
      </c>
      <c r="I127" s="198">
        <f>G127/_xlfn.XLOOKUP($D127,Table2[Item],Table2[Edible portion])</f>
        <v>75</v>
      </c>
      <c r="J127" s="322">
        <f>'Background calculations'!AB231</f>
        <v>60</v>
      </c>
      <c r="K127" s="321"/>
      <c r="M127" s="199" t="s">
        <v>557</v>
      </c>
      <c r="N127" s="200"/>
      <c r="O127" s="200"/>
      <c r="P127" s="200"/>
      <c r="Q127" s="200"/>
      <c r="R127" s="200"/>
      <c r="S127" s="200"/>
      <c r="T127" s="200"/>
      <c r="U127" s="200"/>
      <c r="V127" s="200"/>
      <c r="W127" s="200"/>
      <c r="X127" s="201"/>
      <c r="Y127" s="201"/>
    </row>
    <row r="128" spans="2:25" x14ac:dyDescent="0.2">
      <c r="B128" s="139"/>
      <c r="C128" s="22" t="s">
        <v>106</v>
      </c>
      <c r="D128" s="22" t="str">
        <f>IF(OR(_xlfn.XLOOKUP(C128&amp;'Background calculations'!D232,Table2[lookup],Table2[Item],"") = 0,_xlfn.XLOOKUP(C128&amp;'Background calculations'!D232,Table2[lookup],Table2[Item],"") = ""),"",_xlfn.XLOOKUP(C128&amp;'Background calculations'!D232,Table2[lookup],Table2[Item],"item not available"))</f>
        <v>Cooking Oil</v>
      </c>
      <c r="E128" s="197" t="s">
        <v>204</v>
      </c>
      <c r="F128" s="198">
        <v>30</v>
      </c>
      <c r="G128" s="392">
        <v>34</v>
      </c>
      <c r="H128" s="198">
        <f>F128/_xlfn.XLOOKUP($D128,Table2[Item],Table2[Edible portion])</f>
        <v>37.5</v>
      </c>
      <c r="I128" s="198">
        <f>G128/_xlfn.XLOOKUP($D128,Table2[Item],Table2[Edible portion])</f>
        <v>42.5</v>
      </c>
      <c r="J128" s="322">
        <f>'Background calculations'!AB232</f>
        <v>34</v>
      </c>
      <c r="K128" s="321"/>
      <c r="M128" s="199" t="s">
        <v>299</v>
      </c>
      <c r="N128" s="200"/>
      <c r="O128" s="200"/>
      <c r="P128" s="200"/>
      <c r="Q128" s="200"/>
      <c r="R128" s="200"/>
      <c r="S128" s="200"/>
      <c r="T128" s="200"/>
      <c r="U128" s="200"/>
      <c r="V128" s="200"/>
      <c r="W128" s="200"/>
      <c r="X128" s="201"/>
      <c r="Y128" s="201"/>
    </row>
    <row r="129" spans="2:25" x14ac:dyDescent="0.2">
      <c r="B129" s="139"/>
      <c r="C129" s="22" t="s">
        <v>28</v>
      </c>
      <c r="D129" s="22" t="str">
        <f>IF(OR(_xlfn.XLOOKUP(C129&amp;'Background calculations'!D233,Table2[lookup],Table2[Item],"") = 0,_xlfn.XLOOKUP(C129&amp;'Background calculations'!D233,Table2[lookup],Table2[Item],"") = ""),"",_xlfn.XLOOKUP(C129&amp;'Background calculations'!D233,Table2[lookup],Table2[Item],"item not available"))</f>
        <v>soda</v>
      </c>
      <c r="E129" s="197" t="s">
        <v>204</v>
      </c>
      <c r="F129" s="198">
        <v>2</v>
      </c>
      <c r="G129" s="392">
        <v>2</v>
      </c>
      <c r="H129" s="198">
        <f>F129/_xlfn.XLOOKUP($D129,Table2[Item],Table2[Edible portion])</f>
        <v>2</v>
      </c>
      <c r="I129" s="198">
        <f>G129/_xlfn.XLOOKUP($D129,Table2[Item],Table2[Edible portion])</f>
        <v>2</v>
      </c>
      <c r="J129" s="322">
        <f>'Background calculations'!AB233</f>
        <v>2</v>
      </c>
      <c r="K129" s="321"/>
      <c r="M129" s="199" t="s">
        <v>544</v>
      </c>
      <c r="N129" s="200"/>
      <c r="O129" s="200"/>
      <c r="P129" s="200"/>
      <c r="Q129" s="200"/>
      <c r="R129" s="200"/>
      <c r="S129" s="200"/>
      <c r="T129" s="200"/>
      <c r="U129" s="200"/>
      <c r="V129" s="200"/>
      <c r="W129" s="200"/>
      <c r="X129" s="201"/>
      <c r="Y129" s="201"/>
    </row>
    <row r="130" spans="2:25" x14ac:dyDescent="0.2">
      <c r="B130" s="139"/>
      <c r="C130" s="22" t="s">
        <v>545</v>
      </c>
      <c r="D130" s="22" t="str">
        <f>IF(OR(_xlfn.XLOOKUP(C130&amp;'Background calculations'!D234,Table2[lookup],Table2[Item],"") = 0,_xlfn.XLOOKUP(C130&amp;'Background calculations'!D234,Table2[lookup],Table2[Item],"") = ""),"",_xlfn.XLOOKUP(C130&amp;'Background calculations'!D234,Table2[lookup],Table2[Item],"item not available"))</f>
        <v>Non Alcoholic Kombucha</v>
      </c>
      <c r="E130" s="197" t="s">
        <v>203</v>
      </c>
      <c r="F130" s="198">
        <v>30</v>
      </c>
      <c r="G130" s="392">
        <v>30</v>
      </c>
      <c r="H130" s="198">
        <f>F130/_xlfn.XLOOKUP($D130,Table2[Item],Table2[Edible portion])</f>
        <v>30</v>
      </c>
      <c r="I130" s="198">
        <f>G130/_xlfn.XLOOKUP($D130,Table2[Item],Table2[Edible portion])</f>
        <v>30</v>
      </c>
      <c r="J130" s="322">
        <f>'Background calculations'!AB234</f>
        <v>30</v>
      </c>
      <c r="K130" s="321"/>
      <c r="M130" s="199" t="s">
        <v>185</v>
      </c>
      <c r="N130" s="200"/>
      <c r="O130" s="200"/>
      <c r="P130" s="200"/>
      <c r="Q130" s="200"/>
      <c r="R130" s="200"/>
      <c r="S130" s="200"/>
      <c r="T130" s="200"/>
      <c r="U130" s="200"/>
      <c r="V130" s="200"/>
      <c r="W130" s="200"/>
      <c r="X130" s="201"/>
      <c r="Y130" s="201"/>
    </row>
    <row r="131" spans="2:25" ht="16" thickBot="1" x14ac:dyDescent="0.25">
      <c r="B131" s="142"/>
      <c r="C131" s="143"/>
      <c r="D131" s="143"/>
      <c r="E131" s="143"/>
      <c r="F131" s="143"/>
      <c r="G131" s="143"/>
      <c r="H131" s="143"/>
      <c r="I131" s="143"/>
      <c r="J131" s="143"/>
      <c r="K131" s="145"/>
      <c r="L131"/>
      <c r="M131"/>
      <c r="N131"/>
      <c r="O131"/>
      <c r="P131"/>
      <c r="Q131"/>
      <c r="R131"/>
      <c r="S131"/>
      <c r="T131"/>
      <c r="U131"/>
      <c r="V131"/>
      <c r="W131"/>
      <c r="X131"/>
      <c r="Y131"/>
    </row>
  </sheetData>
  <mergeCells count="6">
    <mergeCell ref="B5:X5"/>
    <mergeCell ref="L12:X12"/>
    <mergeCell ref="C22:X22"/>
    <mergeCell ref="C88:X92"/>
    <mergeCell ref="F110:G110"/>
    <mergeCell ref="H110:I110"/>
  </mergeCells>
  <phoneticPr fontId="13" type="noConversion"/>
  <conditionalFormatting sqref="E32:G39 E41:G65">
    <cfRule type="containsBlanks" priority="1" stopIfTrue="1">
      <formula>LEN(TRIM(E32))=0</formula>
    </cfRule>
    <cfRule type="containsBlanks" dxfId="6" priority="2" stopIfTrue="1">
      <formula>LEN(TRIM(E32))=0</formula>
    </cfRule>
  </conditionalFormatting>
  <conditionalFormatting sqref="E51:G53">
    <cfRule type="containsBlanks" priority="5" stopIfTrue="1">
      <formula>LEN(TRIM(E51))=0</formula>
    </cfRule>
    <cfRule type="containsBlanks" dxfId="5" priority="6" stopIfTrue="1">
      <formula>LEN(TRIM(E51))=0</formula>
    </cfRule>
  </conditionalFormatting>
  <conditionalFormatting sqref="E53:G63">
    <cfRule type="containsBlanks" priority="7" stopIfTrue="1">
      <formula>LEN(TRIM(E53))=0</formula>
    </cfRule>
    <cfRule type="containsBlanks" dxfId="4" priority="8" stopIfTrue="1">
      <formula>LEN(TRIM(E53))=0</formula>
    </cfRule>
  </conditionalFormatting>
  <conditionalFormatting sqref="E62:G64">
    <cfRule type="containsBlanks" priority="3" stopIfTrue="1">
      <formula>LEN(TRIM(E62))=0</formula>
    </cfRule>
    <cfRule type="containsBlanks" dxfId="3" priority="4" stopIfTrue="1">
      <formula>LEN(TRIM(E62))=0</formula>
    </cfRule>
  </conditionalFormatting>
  <conditionalFormatting sqref="F112 G112:G130">
    <cfRule type="expression" dxfId="2" priority="9">
      <formula>F112&lt;E112</formula>
    </cfRule>
  </conditionalFormatting>
  <dataValidations count="1">
    <dataValidation type="list" allowBlank="1" showInputMessage="1" showErrorMessage="1" sqref="E14" xr:uid="{4A84A074-B288-437D-A29F-869AFCAF2EA6}">
      <formula1>"Sedentary, Moderate, Vigorous"</formula1>
    </dataValidation>
  </dataValidations>
  <hyperlinks>
    <hyperlink ref="K12" r:id="rId1" xr:uid="{FE5D2BCB-1F43-491F-9720-309528248551}"/>
    <hyperlink ref="C24" r:id="rId2" xr:uid="{039613E1-CC41-4C80-A836-1808C7922B76}"/>
    <hyperlink ref="C25" r:id="rId3" xr:uid="{D1D1E97B-EDD3-492C-ADE7-911CBF525338}"/>
  </hyperlinks>
  <pageMargins left="0.7" right="0.7" top="0.75" bottom="0.75" header="0.3" footer="0.3"/>
  <pageSetup orientation="portrait" r:id="rId4"/>
  <drawing r:id="rId5"/>
  <extLst>
    <ext xmlns:x14="http://schemas.microsoft.com/office/spreadsheetml/2009/9/main" uri="{78C0D931-6437-407d-A8EE-F0AAD7539E65}">
      <x14:conditionalFormattings>
        <x14:conditionalFormatting xmlns:xm="http://schemas.microsoft.com/office/excel/2006/main">
          <x14:cfRule type="expression" priority="55" id="{194408AF-5BA5-4421-9C4D-2E3E56E9ED1E}">
            <xm:f>'Background calculations'!$C$102&gt;0.01</xm:f>
            <x14:dxf>
              <fill>
                <patternFill>
                  <bgColor rgb="FFC00000"/>
                </patternFill>
              </fill>
            </x14:dxf>
          </x14:cfRule>
          <x14:cfRule type="expression" priority="56" id="{E004BF1E-8B5C-4A4A-9C53-F10F9BD8BD22}">
            <xm:f>'Background calculations'!$C$102 &gt; 1%</xm:f>
            <x14:dxf>
              <font>
                <color auto="1"/>
              </font>
              <fill>
                <patternFill>
                  <bgColor rgb="FFC00000"/>
                </patternFill>
              </fill>
            </x14:dxf>
          </x14:cfRule>
          <xm:sqref>E99</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EE87E3C1-722A-4340-BFA8-91FD09AB44A0}">
          <x14:formula1>
            <xm:f>'Background calculations'!$B$202:$B$206</xm:f>
          </x14:formula1>
          <xm:sqref>E112:E130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9BC47-D418-4A2A-BFC0-0A7E66F46C5C}">
  <sheetPr>
    <tabColor rgb="FF0070C0"/>
  </sheetPr>
  <dimension ref="B2:Y45"/>
  <sheetViews>
    <sheetView showGridLines="0" topLeftCell="A11" zoomScale="50" zoomScaleNormal="100" workbookViewId="0">
      <selection activeCell="D26" sqref="D26"/>
    </sheetView>
  </sheetViews>
  <sheetFormatPr baseColWidth="10" defaultColWidth="8.83203125" defaultRowHeight="15" x14ac:dyDescent="0.2"/>
  <cols>
    <col min="1" max="1" width="2.83203125" style="22" customWidth="1"/>
    <col min="2" max="2" width="2.1640625" style="22" customWidth="1"/>
    <col min="3" max="3" width="42" style="22" customWidth="1"/>
    <col min="4" max="4" width="25" style="22" customWidth="1"/>
    <col min="5" max="5" width="24" style="22" customWidth="1"/>
    <col min="6" max="6" width="7.83203125" style="22" customWidth="1"/>
    <col min="7" max="7" width="4.83203125" style="22" customWidth="1"/>
    <col min="8" max="8" width="11.5" style="22" customWidth="1"/>
    <col min="9" max="16384" width="8.83203125" style="22"/>
  </cols>
  <sheetData>
    <row r="2" spans="2:24" ht="62" x14ac:dyDescent="0.7">
      <c r="B2" s="131" t="s">
        <v>361</v>
      </c>
      <c r="C2" s="132"/>
    </row>
    <row r="4" spans="2:24" ht="21" x14ac:dyDescent="0.25">
      <c r="B4" s="120" t="s">
        <v>407</v>
      </c>
      <c r="C4" s="121"/>
      <c r="D4" s="122"/>
      <c r="E4" s="122"/>
      <c r="F4" s="122"/>
      <c r="G4" s="122"/>
      <c r="H4" s="122"/>
      <c r="I4" s="122"/>
      <c r="J4" s="122"/>
      <c r="K4" s="122"/>
      <c r="L4" s="122"/>
      <c r="M4" s="122"/>
      <c r="N4" s="122"/>
      <c r="O4" s="122"/>
      <c r="P4" s="122"/>
      <c r="Q4" s="122"/>
      <c r="R4" s="122"/>
      <c r="S4" s="122"/>
      <c r="T4" s="122"/>
      <c r="U4" s="122"/>
      <c r="V4" s="122"/>
      <c r="W4" s="122"/>
      <c r="X4" s="122"/>
    </row>
    <row r="6" spans="2:24" x14ac:dyDescent="0.2">
      <c r="B6" s="133" t="s">
        <v>52</v>
      </c>
      <c r="C6" s="133"/>
      <c r="D6" s="133"/>
      <c r="E6" s="133"/>
      <c r="F6" s="133"/>
    </row>
    <row r="8" spans="2:24" ht="26.5" customHeight="1" x14ac:dyDescent="0.2">
      <c r="B8" s="437" t="s">
        <v>479</v>
      </c>
      <c r="C8" s="437"/>
      <c r="D8" s="437"/>
      <c r="E8" s="437"/>
      <c r="F8" s="437"/>
    </row>
    <row r="10" spans="2:24" ht="16" thickBot="1" x14ac:dyDescent="0.25">
      <c r="C10" s="60"/>
      <c r="D10" s="134"/>
    </row>
    <row r="11" spans="2:24" ht="55.5" customHeight="1" x14ac:dyDescent="0.2">
      <c r="B11" s="135"/>
      <c r="C11" s="136" t="s">
        <v>360</v>
      </c>
      <c r="D11" s="137"/>
      <c r="E11" s="137"/>
      <c r="F11" s="138"/>
    </row>
    <row r="12" spans="2:24" x14ac:dyDescent="0.2">
      <c r="B12" s="139"/>
      <c r="F12" s="140"/>
    </row>
    <row r="13" spans="2:24" x14ac:dyDescent="0.2">
      <c r="B13" s="139"/>
      <c r="D13" s="88" t="s">
        <v>289</v>
      </c>
      <c r="E13" s="88" t="s">
        <v>300</v>
      </c>
      <c r="F13" s="140"/>
    </row>
    <row r="14" spans="2:24" x14ac:dyDescent="0.2">
      <c r="B14" s="139"/>
      <c r="F14" s="140"/>
    </row>
    <row r="15" spans="2:24" x14ac:dyDescent="0.2">
      <c r="B15" s="139"/>
      <c r="C15" s="60" t="s">
        <v>363</v>
      </c>
      <c r="F15" s="140"/>
    </row>
    <row r="16" spans="2:24" x14ac:dyDescent="0.2">
      <c r="B16" s="139"/>
      <c r="C16" s="22" t="s">
        <v>362</v>
      </c>
      <c r="D16" s="22" t="s">
        <v>401</v>
      </c>
      <c r="E16" s="141">
        <f>IFERROR('Background calculations'!C300,"")</f>
        <v>553120.9165811612</v>
      </c>
      <c r="F16" s="140"/>
    </row>
    <row r="17" spans="2:25" x14ac:dyDescent="0.2">
      <c r="B17" s="139"/>
      <c r="C17" s="22" t="s">
        <v>362</v>
      </c>
      <c r="D17" s="22" t="s">
        <v>359</v>
      </c>
      <c r="E17" s="141">
        <f>IFERROR(E16/'OUTPUT_Living wage'!E10,"")</f>
        <v>150.50909294725474</v>
      </c>
      <c r="F17" s="140"/>
    </row>
    <row r="18" spans="2:25" ht="16" thickBot="1" x14ac:dyDescent="0.25">
      <c r="B18" s="142"/>
      <c r="C18" s="143"/>
      <c r="D18" s="143"/>
      <c r="E18" s="144"/>
      <c r="F18" s="145"/>
    </row>
    <row r="20" spans="2:25" ht="21" x14ac:dyDescent="0.25">
      <c r="B20" s="126" t="s">
        <v>366</v>
      </c>
      <c r="C20" s="126"/>
      <c r="D20" s="28"/>
      <c r="E20" s="28"/>
      <c r="F20" s="29"/>
      <c r="G20" s="29"/>
      <c r="H20" s="29"/>
      <c r="I20" s="29"/>
      <c r="J20" s="29"/>
      <c r="K20" s="29"/>
      <c r="L20" s="29"/>
      <c r="M20" s="29"/>
      <c r="N20" s="29"/>
      <c r="O20" s="29"/>
      <c r="P20" s="29"/>
      <c r="Q20" s="29"/>
      <c r="R20" s="29"/>
      <c r="S20" s="29"/>
      <c r="T20" s="29"/>
      <c r="U20" s="29"/>
      <c r="V20" s="29"/>
      <c r="W20" s="29"/>
      <c r="X20" s="29"/>
      <c r="Y20" s="29"/>
    </row>
    <row r="21" spans="2:25" ht="16" thickBot="1" x14ac:dyDescent="0.25"/>
    <row r="22" spans="2:25" ht="24" x14ac:dyDescent="0.2">
      <c r="B22" s="135"/>
      <c r="C22" s="146" t="s">
        <v>367</v>
      </c>
      <c r="D22" s="137"/>
      <c r="E22" s="137"/>
      <c r="F22" s="138"/>
    </row>
    <row r="23" spans="2:25" x14ac:dyDescent="0.2">
      <c r="B23" s="139"/>
      <c r="F23" s="140"/>
      <c r="H23" s="147" t="s">
        <v>20</v>
      </c>
      <c r="I23" s="133" t="s">
        <v>75</v>
      </c>
      <c r="J23" s="133"/>
      <c r="K23" s="133"/>
      <c r="L23" s="133"/>
      <c r="M23" s="133"/>
      <c r="N23" s="133"/>
      <c r="O23" s="133"/>
      <c r="P23" s="133"/>
      <c r="Q23" s="133"/>
      <c r="R23" s="133"/>
      <c r="S23" s="133"/>
      <c r="T23" s="133"/>
      <c r="U23" s="133"/>
      <c r="V23" s="133"/>
    </row>
    <row r="24" spans="2:25" x14ac:dyDescent="0.2">
      <c r="B24" s="139"/>
      <c r="C24" s="148" t="s">
        <v>408</v>
      </c>
      <c r="D24" s="88" t="s">
        <v>73</v>
      </c>
      <c r="E24" s="88" t="s">
        <v>74</v>
      </c>
      <c r="F24" s="140"/>
      <c r="I24" s="149" t="s">
        <v>480</v>
      </c>
      <c r="J24" s="149"/>
      <c r="K24" s="149"/>
      <c r="L24" s="149"/>
      <c r="M24" s="149"/>
      <c r="N24" s="149"/>
      <c r="O24" s="149"/>
      <c r="P24" s="149"/>
      <c r="Q24" s="149"/>
      <c r="R24" s="149"/>
      <c r="S24" s="149"/>
      <c r="T24" s="149"/>
      <c r="U24" s="149"/>
      <c r="V24" s="149"/>
    </row>
    <row r="25" spans="2:25" x14ac:dyDescent="0.2">
      <c r="B25" s="139"/>
      <c r="C25" s="22" t="s">
        <v>84</v>
      </c>
      <c r="D25" s="150">
        <v>0.45</v>
      </c>
      <c r="E25" s="150">
        <v>5.1999999999999998E-2</v>
      </c>
      <c r="F25" s="140"/>
      <c r="I25" s="149"/>
      <c r="J25" s="149"/>
      <c r="K25" s="149"/>
      <c r="L25" s="149"/>
      <c r="M25" s="149"/>
      <c r="N25" s="149"/>
      <c r="O25" s="149"/>
      <c r="P25" s="149"/>
      <c r="Q25" s="149"/>
      <c r="R25" s="149"/>
      <c r="S25" s="149"/>
      <c r="T25" s="149"/>
      <c r="U25" s="149"/>
      <c r="V25" s="149"/>
    </row>
    <row r="26" spans="2:25" x14ac:dyDescent="0.2">
      <c r="B26" s="139"/>
      <c r="C26" s="22" t="s">
        <v>85</v>
      </c>
      <c r="D26" s="150">
        <v>0.03</v>
      </c>
      <c r="E26" s="150">
        <v>0.01</v>
      </c>
      <c r="F26" s="140"/>
      <c r="H26" s="151" t="s">
        <v>274</v>
      </c>
      <c r="I26" s="149" t="s">
        <v>481</v>
      </c>
      <c r="J26" s="149"/>
      <c r="K26" s="149"/>
      <c r="L26" s="149"/>
      <c r="M26" s="149"/>
      <c r="N26" s="149"/>
      <c r="O26" s="149"/>
      <c r="P26" s="149"/>
      <c r="Q26" s="149"/>
      <c r="R26" s="149"/>
      <c r="S26" s="149"/>
      <c r="T26" s="149"/>
      <c r="U26" s="149"/>
      <c r="V26" s="149"/>
    </row>
    <row r="27" spans="2:25" x14ac:dyDescent="0.2">
      <c r="B27" s="139"/>
      <c r="C27" s="22" t="s">
        <v>76</v>
      </c>
      <c r="D27" s="150">
        <v>0.05</v>
      </c>
      <c r="E27" s="150">
        <v>0.02</v>
      </c>
      <c r="F27" s="140"/>
      <c r="I27" s="152"/>
      <c r="J27" s="149"/>
      <c r="K27" s="149"/>
      <c r="L27" s="149"/>
      <c r="M27" s="149"/>
      <c r="N27" s="149"/>
      <c r="O27" s="149"/>
      <c r="P27" s="149"/>
      <c r="Q27" s="149"/>
      <c r="R27" s="149"/>
      <c r="S27" s="149"/>
      <c r="T27" s="149"/>
      <c r="U27" s="149"/>
      <c r="V27" s="149"/>
    </row>
    <row r="28" spans="2:25" x14ac:dyDescent="0.2">
      <c r="B28" s="139"/>
      <c r="C28" s="22" t="s">
        <v>86</v>
      </c>
      <c r="D28" s="150">
        <v>0.104</v>
      </c>
      <c r="E28" s="150">
        <v>0.02</v>
      </c>
      <c r="F28" s="140"/>
      <c r="I28" s="399" t="s">
        <v>482</v>
      </c>
      <c r="J28" s="399"/>
      <c r="K28" s="399"/>
      <c r="L28" s="399"/>
      <c r="M28" s="399"/>
      <c r="N28" s="399"/>
      <c r="O28" s="399"/>
      <c r="P28" s="399"/>
      <c r="Q28" s="399"/>
      <c r="R28" s="399"/>
      <c r="S28" s="399"/>
      <c r="T28" s="399"/>
      <c r="U28" s="399"/>
      <c r="V28" s="399"/>
    </row>
    <row r="29" spans="2:25" x14ac:dyDescent="0.2">
      <c r="B29" s="139"/>
      <c r="C29" s="22" t="s">
        <v>77</v>
      </c>
      <c r="D29" s="150">
        <v>0.03</v>
      </c>
      <c r="E29" s="150">
        <v>0.02</v>
      </c>
      <c r="F29" s="140"/>
      <c r="I29" s="399"/>
      <c r="J29" s="399"/>
      <c r="K29" s="399"/>
      <c r="L29" s="399"/>
      <c r="M29" s="399"/>
      <c r="N29" s="399"/>
      <c r="O29" s="399"/>
      <c r="P29" s="399"/>
      <c r="Q29" s="399"/>
      <c r="R29" s="399"/>
      <c r="S29" s="399"/>
      <c r="T29" s="399"/>
      <c r="U29" s="399"/>
      <c r="V29" s="399"/>
    </row>
    <row r="30" spans="2:25" x14ac:dyDescent="0.2">
      <c r="B30" s="139"/>
      <c r="C30" s="22" t="s">
        <v>78</v>
      </c>
      <c r="D30" s="150">
        <v>3.6999999999999998E-2</v>
      </c>
      <c r="E30" s="150">
        <v>0.04</v>
      </c>
      <c r="F30" s="140"/>
      <c r="I30" s="399"/>
      <c r="J30" s="399"/>
      <c r="K30" s="399"/>
      <c r="L30" s="399"/>
      <c r="M30" s="399"/>
      <c r="N30" s="399"/>
      <c r="O30" s="399"/>
      <c r="P30" s="399"/>
      <c r="Q30" s="399"/>
      <c r="R30" s="399"/>
      <c r="S30" s="399"/>
      <c r="T30" s="399"/>
      <c r="U30" s="399"/>
      <c r="V30" s="399"/>
    </row>
    <row r="31" spans="2:25" x14ac:dyDescent="0.2">
      <c r="B31" s="139"/>
      <c r="C31" s="22" t="s">
        <v>47</v>
      </c>
      <c r="D31" s="150">
        <v>0.04</v>
      </c>
      <c r="E31" s="150">
        <v>0.03</v>
      </c>
      <c r="F31" s="140"/>
      <c r="I31" s="399"/>
      <c r="J31" s="399"/>
      <c r="K31" s="399"/>
      <c r="L31" s="399"/>
      <c r="M31" s="399"/>
      <c r="N31" s="399"/>
      <c r="O31" s="399"/>
      <c r="P31" s="399"/>
      <c r="Q31" s="399"/>
      <c r="R31" s="399"/>
      <c r="S31" s="399"/>
      <c r="T31" s="399"/>
      <c r="U31" s="399"/>
      <c r="V31" s="399"/>
    </row>
    <row r="32" spans="2:25" x14ac:dyDescent="0.2">
      <c r="B32" s="139"/>
      <c r="C32" s="22" t="s">
        <v>79</v>
      </c>
      <c r="D32" s="150">
        <v>0.06</v>
      </c>
      <c r="E32" s="150">
        <v>0.03</v>
      </c>
      <c r="F32" s="140"/>
    </row>
    <row r="33" spans="2:22" x14ac:dyDescent="0.2">
      <c r="B33" s="139"/>
      <c r="C33" s="22" t="s">
        <v>80</v>
      </c>
      <c r="D33" s="150">
        <v>0.05</v>
      </c>
      <c r="E33" s="150">
        <v>0.01</v>
      </c>
      <c r="F33" s="140"/>
    </row>
    <row r="34" spans="2:22" x14ac:dyDescent="0.2">
      <c r="B34" s="139"/>
      <c r="C34" s="22" t="s">
        <v>64</v>
      </c>
      <c r="D34" s="150">
        <v>1.7999999999999999E-2</v>
      </c>
      <c r="E34" s="150">
        <v>0.06</v>
      </c>
      <c r="F34" s="140"/>
    </row>
    <row r="35" spans="2:22" x14ac:dyDescent="0.2">
      <c r="B35" s="139"/>
      <c r="C35" s="22" t="s">
        <v>82</v>
      </c>
      <c r="D35" s="150">
        <v>6.7000000000000004E-2</v>
      </c>
      <c r="E35" s="150">
        <v>0.06</v>
      </c>
      <c r="F35" s="140"/>
    </row>
    <row r="36" spans="2:22" x14ac:dyDescent="0.2">
      <c r="B36" s="139"/>
      <c r="C36" s="22" t="s">
        <v>83</v>
      </c>
      <c r="D36" s="150">
        <v>2.3E-2</v>
      </c>
      <c r="E36" s="150">
        <v>0.18</v>
      </c>
      <c r="F36" s="140"/>
    </row>
    <row r="37" spans="2:22" x14ac:dyDescent="0.2">
      <c r="B37" s="139"/>
      <c r="C37" s="153" t="s">
        <v>250</v>
      </c>
      <c r="D37" s="150">
        <v>4.3999999999999997E-2</v>
      </c>
      <c r="E37" s="150">
        <v>0.02</v>
      </c>
      <c r="F37" s="140"/>
    </row>
    <row r="38" spans="2:22" x14ac:dyDescent="0.2">
      <c r="B38" s="139"/>
      <c r="F38" s="140"/>
    </row>
    <row r="39" spans="2:22" x14ac:dyDescent="0.2">
      <c r="B39" s="139"/>
      <c r="F39" s="140"/>
    </row>
    <row r="40" spans="2:22" x14ac:dyDescent="0.2">
      <c r="B40" s="139"/>
      <c r="C40" s="60" t="s">
        <v>98</v>
      </c>
      <c r="D40" s="154" t="s">
        <v>73</v>
      </c>
      <c r="F40" s="140"/>
      <c r="I40" s="149" t="s">
        <v>483</v>
      </c>
      <c r="J40" s="149"/>
      <c r="K40" s="149"/>
      <c r="L40" s="149"/>
      <c r="M40" s="149"/>
      <c r="N40" s="149"/>
      <c r="O40" s="149"/>
      <c r="P40" s="149"/>
      <c r="Q40" s="149"/>
      <c r="R40" s="149"/>
      <c r="S40" s="149"/>
      <c r="T40" s="149"/>
      <c r="U40" s="149"/>
      <c r="V40" s="149"/>
    </row>
    <row r="41" spans="2:22" ht="16" thickBot="1" x14ac:dyDescent="0.25">
      <c r="B41" s="142"/>
      <c r="C41" s="143"/>
      <c r="D41" s="143"/>
      <c r="E41" s="143"/>
      <c r="F41" s="145"/>
    </row>
    <row r="44" spans="2:22" x14ac:dyDescent="0.2">
      <c r="F44" s="134"/>
    </row>
    <row r="45" spans="2:22" x14ac:dyDescent="0.2">
      <c r="F45" s="134"/>
    </row>
  </sheetData>
  <mergeCells count="2">
    <mergeCell ref="B8:F8"/>
    <mergeCell ref="I28:V31"/>
  </mergeCells>
  <dataValidations count="1">
    <dataValidation type="list" allowBlank="1" showInputMessage="1" showErrorMessage="1" sqref="D40" xr:uid="{AF138FFF-DD11-43FC-AF2D-D7F1C41B967E}">
      <formula1>$D$24:$E$24</formula1>
    </dataValidation>
  </dataValidations>
  <hyperlinks>
    <hyperlink ref="H26" r:id="rId1" xr:uid="{E43C2DB5-C06B-4A50-BB77-60738B180136}"/>
  </hyperlinks>
  <pageMargins left="0.7" right="0.7" top="0.75" bottom="0.75" header="0.3" footer="0.3"/>
  <pageSetup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8940E-F718-4EED-827A-C888DE6C4AF7}">
  <sheetPr>
    <tabColor theme="3"/>
  </sheetPr>
  <dimension ref="A2:T68"/>
  <sheetViews>
    <sheetView showGridLines="0" zoomScale="93" zoomScaleNormal="85" workbookViewId="0">
      <selection activeCell="D25" sqref="D25"/>
    </sheetView>
  </sheetViews>
  <sheetFormatPr baseColWidth="10" defaultColWidth="8.83203125" defaultRowHeight="15" x14ac:dyDescent="0.2"/>
  <cols>
    <col min="1" max="1" width="8.83203125" style="22"/>
    <col min="2" max="2" width="51.5" style="22" customWidth="1"/>
    <col min="3" max="3" width="29.5" style="22" customWidth="1"/>
    <col min="4" max="4" width="27.83203125" style="22" customWidth="1"/>
    <col min="5" max="5" width="61.1640625" style="22" bestFit="1" customWidth="1"/>
    <col min="6" max="9" width="16.5" style="22" customWidth="1"/>
    <col min="10" max="10" width="19.5" style="22" customWidth="1"/>
    <col min="11" max="11" width="32.83203125" style="22" customWidth="1"/>
    <col min="12" max="12" width="39.5" style="22" customWidth="1"/>
    <col min="13" max="13" width="26.5" style="22" customWidth="1"/>
    <col min="14" max="14" width="19.5" style="22" customWidth="1"/>
    <col min="15" max="16" width="23.5" style="22" customWidth="1"/>
    <col min="17" max="17" width="8.83203125" style="22"/>
    <col min="18" max="18" width="11.5" style="22" customWidth="1"/>
    <col min="19" max="19" width="17.83203125" style="22" customWidth="1"/>
    <col min="20" max="16384" width="8.83203125" style="22"/>
  </cols>
  <sheetData>
    <row r="2" spans="2:20" ht="31" x14ac:dyDescent="0.35">
      <c r="B2" s="118" t="s">
        <v>5</v>
      </c>
      <c r="T2" s="119"/>
    </row>
    <row r="3" spans="2:20" x14ac:dyDescent="0.2">
      <c r="T3" s="59"/>
    </row>
    <row r="4" spans="2:20" x14ac:dyDescent="0.2">
      <c r="T4" s="59"/>
    </row>
    <row r="5" spans="2:20" ht="21" x14ac:dyDescent="0.25">
      <c r="B5" s="120" t="s">
        <v>461</v>
      </c>
      <c r="C5" s="121"/>
      <c r="D5" s="122"/>
      <c r="E5" s="122"/>
      <c r="F5" s="122"/>
      <c r="G5" s="122"/>
      <c r="H5" s="122"/>
      <c r="I5" s="122"/>
      <c r="J5" s="122"/>
      <c r="K5" s="122"/>
      <c r="T5" s="59"/>
    </row>
    <row r="6" spans="2:20" x14ac:dyDescent="0.2">
      <c r="T6" s="119"/>
    </row>
    <row r="7" spans="2:20" x14ac:dyDescent="0.2">
      <c r="B7" s="23" t="s">
        <v>52</v>
      </c>
      <c r="T7" s="119"/>
    </row>
    <row r="8" spans="2:20" ht="64.5" customHeight="1" x14ac:dyDescent="0.2">
      <c r="B8" s="434" t="s">
        <v>581</v>
      </c>
      <c r="C8" s="434"/>
      <c r="D8" s="434"/>
      <c r="E8" s="434"/>
      <c r="F8" s="434"/>
      <c r="G8" s="434"/>
      <c r="H8" s="434"/>
      <c r="I8" s="434"/>
      <c r="J8" s="434"/>
      <c r="K8" s="434"/>
      <c r="T8" s="119"/>
    </row>
    <row r="9" spans="2:20" x14ac:dyDescent="0.2">
      <c r="T9" s="119"/>
    </row>
    <row r="10" spans="2:20" x14ac:dyDescent="0.2">
      <c r="T10" s="119"/>
    </row>
    <row r="11" spans="2:20" x14ac:dyDescent="0.2">
      <c r="B11" s="123"/>
      <c r="C11" s="92" t="s">
        <v>289</v>
      </c>
      <c r="D11" s="50" t="s">
        <v>300</v>
      </c>
      <c r="E11"/>
      <c r="T11" s="119"/>
    </row>
    <row r="12" spans="2:20" x14ac:dyDescent="0.2">
      <c r="B12" s="22" t="s">
        <v>582</v>
      </c>
      <c r="C12" s="22" t="s">
        <v>264</v>
      </c>
      <c r="D12" s="334">
        <f>+'OUTPUT_Living wage'!E35</f>
        <v>713873.1386956505</v>
      </c>
      <c r="T12" s="119"/>
    </row>
    <row r="13" spans="2:20" x14ac:dyDescent="0.2">
      <c r="D13" s="65"/>
      <c r="E13" s="60"/>
      <c r="T13" s="119"/>
    </row>
    <row r="14" spans="2:20" ht="32" x14ac:dyDescent="0.2">
      <c r="B14" s="31" t="s">
        <v>583</v>
      </c>
      <c r="C14" s="65" t="s">
        <v>398</v>
      </c>
      <c r="D14" s="124">
        <f>IFERROR(D12*12,"")</f>
        <v>8566477.6643478051</v>
      </c>
      <c r="N14" s="125"/>
      <c r="T14" s="119"/>
    </row>
    <row r="15" spans="2:20" x14ac:dyDescent="0.2">
      <c r="B15" s="31"/>
      <c r="C15" s="65"/>
      <c r="D15" s="65"/>
      <c r="E15"/>
      <c r="N15" s="335"/>
      <c r="T15" s="119"/>
    </row>
    <row r="16" spans="2:20" x14ac:dyDescent="0.2">
      <c r="C16"/>
      <c r="D16" s="336"/>
      <c r="E16"/>
      <c r="T16" s="119"/>
    </row>
    <row r="17" spans="2:20" ht="16" x14ac:dyDescent="0.2">
      <c r="B17" s="185" t="s">
        <v>584</v>
      </c>
      <c r="C17" s="65" t="s">
        <v>398</v>
      </c>
      <c r="D17" s="124">
        <f>IFERROR((D$14-INDEX($E$45:$E$53,MATCH(VLOOKUP(D$14,$C$46:$I$53,$I$44,1),$I$45:$I$53,0)))*VLOOKUP(D$14,$C$46:$I$53,$G$44,1)+INDEX($I$45:$I$53,MATCH(VLOOKUP(D$14,$C$46:$I$53,$I$44,1),$I$45:$I$53,0))+SUM(J46:J53),"")</f>
        <v>819397.71663478052</v>
      </c>
      <c r="E17" s="337"/>
      <c r="G17" s="125"/>
      <c r="T17" s="119"/>
    </row>
    <row r="18" spans="2:20" x14ac:dyDescent="0.2">
      <c r="D18" s="65"/>
      <c r="E18"/>
      <c r="T18" s="119"/>
    </row>
    <row r="19" spans="2:20" x14ac:dyDescent="0.2">
      <c r="B19" s="22" t="s">
        <v>585</v>
      </c>
      <c r="C19" s="65" t="s">
        <v>398</v>
      </c>
      <c r="D19" s="338">
        <v>18095287.918446433</v>
      </c>
      <c r="E19" s="339" t="s">
        <v>586</v>
      </c>
      <c r="F19" s="340"/>
      <c r="G19" s="125"/>
      <c r="T19" s="119"/>
    </row>
    <row r="20" spans="2:20" ht="16" thickBot="1" x14ac:dyDescent="0.25">
      <c r="C20" s="65"/>
      <c r="D20"/>
      <c r="E20"/>
      <c r="T20" s="119"/>
    </row>
    <row r="21" spans="2:20" ht="25.75" customHeight="1" thickBot="1" x14ac:dyDescent="0.25">
      <c r="B21" s="341" t="s">
        <v>587</v>
      </c>
      <c r="C21" s="342" t="s">
        <v>398</v>
      </c>
      <c r="D21" s="343">
        <f>IFERROR((D$19-INDEX($E$45:$E$53,MATCH(VLOOKUP(D$19,$C$46:$I$53,$I$44,1),$I$45:$I$53,0)))*VLOOKUP(D$19,$C$46:$I$53,$G$44,1)+INDEX($I$45:$I$53,MATCH(VLOOKUP(D$19,$C$46:$I$53,$I$44,1),$I$45:$I$53,0))+SUM(J46:J53),"")</f>
        <v>1772278.7420446435</v>
      </c>
      <c r="E21"/>
      <c r="G21" s="344"/>
      <c r="T21" s="119"/>
    </row>
    <row r="22" spans="2:20" ht="16" thickBot="1" x14ac:dyDescent="0.25">
      <c r="D22" s="65"/>
      <c r="E22"/>
      <c r="F22" s="345"/>
      <c r="G22" s="345"/>
      <c r="T22" s="119"/>
    </row>
    <row r="23" spans="2:20" ht="25.75" customHeight="1" thickBot="1" x14ac:dyDescent="0.25">
      <c r="B23" s="341" t="s">
        <v>588</v>
      </c>
      <c r="C23" s="342" t="s">
        <v>264</v>
      </c>
      <c r="D23" s="343">
        <f>D21/12</f>
        <v>147689.89517038697</v>
      </c>
      <c r="E23"/>
      <c r="T23" s="119"/>
    </row>
    <row r="24" spans="2:20" x14ac:dyDescent="0.2">
      <c r="D24" s="65"/>
      <c r="E24"/>
      <c r="F24" s="345"/>
      <c r="G24" s="345"/>
      <c r="T24" s="119"/>
    </row>
    <row r="25" spans="2:20" x14ac:dyDescent="0.2">
      <c r="B25" s="346" t="s">
        <v>589</v>
      </c>
      <c r="C25" s="346"/>
      <c r="D25" s="347">
        <f>D19-D21-D14</f>
        <v>7756531.5120539851</v>
      </c>
      <c r="E25" t="s">
        <v>590</v>
      </c>
      <c r="F25" s="345"/>
      <c r="G25" s="345"/>
      <c r="T25" s="119"/>
    </row>
    <row r="26" spans="2:20" x14ac:dyDescent="0.2">
      <c r="D26" s="65"/>
      <c r="E26"/>
      <c r="F26" s="345"/>
      <c r="G26" s="345"/>
      <c r="H26" s="125"/>
      <c r="T26" s="119"/>
    </row>
    <row r="27" spans="2:20" x14ac:dyDescent="0.2">
      <c r="B27" s="26" t="s">
        <v>591</v>
      </c>
      <c r="C27" s="92" t="s">
        <v>289</v>
      </c>
      <c r="E27"/>
      <c r="F27" s="345"/>
      <c r="G27" s="345"/>
      <c r="H27" s="125"/>
      <c r="T27" s="119"/>
    </row>
    <row r="28" spans="2:20" x14ac:dyDescent="0.2">
      <c r="B28" s="22" t="s">
        <v>71</v>
      </c>
      <c r="C28" s="22" t="s">
        <v>462</v>
      </c>
      <c r="D28" s="189">
        <f>_xlfn.IFNA(VLOOKUP(D$19,$E$46:$I$53,3,1),"")</f>
        <v>0.35</v>
      </c>
      <c r="E28"/>
      <c r="F28" s="345"/>
      <c r="G28" s="345"/>
      <c r="T28" s="119"/>
    </row>
    <row r="29" spans="2:20" x14ac:dyDescent="0.2">
      <c r="B29" s="22" t="s">
        <v>72</v>
      </c>
      <c r="C29" s="22" t="s">
        <v>462</v>
      </c>
      <c r="D29" s="189">
        <f>IFERROR(D21/D14,"")</f>
        <v>0.20688535142285613</v>
      </c>
      <c r="E29"/>
      <c r="F29" s="345"/>
      <c r="G29" s="345"/>
      <c r="T29" s="119"/>
    </row>
    <row r="30" spans="2:20" x14ac:dyDescent="0.2">
      <c r="D30" s="22" t="s">
        <v>592</v>
      </c>
      <c r="E30"/>
      <c r="F30" s="345"/>
      <c r="G30" s="345"/>
      <c r="T30" s="119"/>
    </row>
    <row r="31" spans="2:20" x14ac:dyDescent="0.2">
      <c r="D31" s="65"/>
      <c r="E31"/>
      <c r="F31" s="345"/>
      <c r="G31" s="345"/>
      <c r="T31" s="119"/>
    </row>
    <row r="32" spans="2:20" x14ac:dyDescent="0.2">
      <c r="T32" s="119"/>
    </row>
    <row r="33" spans="2:20" ht="21" x14ac:dyDescent="0.25">
      <c r="B33" s="126" t="s">
        <v>463</v>
      </c>
      <c r="C33" s="28"/>
      <c r="D33" s="126"/>
      <c r="E33" s="28"/>
      <c r="F33" s="126"/>
      <c r="G33" s="126"/>
      <c r="H33" s="28"/>
      <c r="I33" s="28"/>
      <c r="J33" s="126"/>
      <c r="K33" s="28"/>
      <c r="T33" s="119"/>
    </row>
    <row r="34" spans="2:20" x14ac:dyDescent="0.2">
      <c r="T34" s="119"/>
    </row>
    <row r="35" spans="2:20" x14ac:dyDescent="0.2">
      <c r="B35" s="23" t="s">
        <v>52</v>
      </c>
      <c r="T35" s="119"/>
    </row>
    <row r="36" spans="2:20" ht="62.25" customHeight="1" x14ac:dyDescent="0.2">
      <c r="B36" s="434" t="s">
        <v>464</v>
      </c>
      <c r="C36" s="434"/>
      <c r="D36" s="434"/>
      <c r="E36" s="434"/>
      <c r="F36" s="434"/>
      <c r="G36" s="434"/>
      <c r="H36" s="434"/>
      <c r="I36" s="434"/>
      <c r="J36" s="434"/>
      <c r="K36" s="434"/>
      <c r="T36" s="119"/>
    </row>
    <row r="37" spans="2:20" x14ac:dyDescent="0.2">
      <c r="T37" s="59"/>
    </row>
    <row r="38" spans="2:20" ht="7.75" customHeight="1" x14ac:dyDescent="0.2">
      <c r="B38" s="206"/>
      <c r="C38" s="206"/>
      <c r="D38" s="206"/>
      <c r="E38" s="206"/>
      <c r="F38" s="206"/>
      <c r="G38" s="206"/>
      <c r="H38" s="206"/>
      <c r="I38" s="206"/>
      <c r="J38" s="206"/>
      <c r="K38" s="206"/>
      <c r="T38" s="59"/>
    </row>
    <row r="39" spans="2:20" x14ac:dyDescent="0.2">
      <c r="B39" s="37" t="s">
        <v>593</v>
      </c>
      <c r="C39" s="206"/>
      <c r="D39" s="206"/>
      <c r="E39" s="206"/>
      <c r="F39" s="206"/>
      <c r="G39" s="206"/>
      <c r="H39" s="206"/>
      <c r="I39" s="206"/>
      <c r="J39" s="206"/>
      <c r="K39" s="206"/>
      <c r="T39" s="59"/>
    </row>
    <row r="40" spans="2:20" x14ac:dyDescent="0.2">
      <c r="B40" s="206" t="s">
        <v>594</v>
      </c>
      <c r="C40" s="206"/>
      <c r="D40" s="206"/>
      <c r="E40" s="206"/>
      <c r="F40" s="206"/>
      <c r="G40" s="206"/>
      <c r="H40" s="206"/>
      <c r="I40" s="206"/>
      <c r="J40" s="206"/>
      <c r="K40" s="206"/>
      <c r="T40" s="59"/>
    </row>
    <row r="41" spans="2:20" x14ac:dyDescent="0.2">
      <c r="B41" s="206" t="s">
        <v>595</v>
      </c>
      <c r="C41" s="206"/>
      <c r="D41" s="206"/>
      <c r="E41" s="206"/>
      <c r="F41" s="206"/>
      <c r="G41" s="206"/>
      <c r="H41" s="206"/>
      <c r="I41" s="206"/>
      <c r="J41" s="206"/>
      <c r="K41" s="206"/>
      <c r="T41" s="59"/>
    </row>
    <row r="42" spans="2:20" x14ac:dyDescent="0.2">
      <c r="B42" s="206"/>
      <c r="C42" s="206"/>
      <c r="D42" s="206"/>
      <c r="E42" s="206"/>
      <c r="F42" s="206"/>
      <c r="G42" s="206"/>
      <c r="H42" s="206"/>
      <c r="I42" s="206"/>
      <c r="J42" s="206"/>
      <c r="K42" s="206"/>
      <c r="T42" s="59"/>
    </row>
    <row r="43" spans="2:20" x14ac:dyDescent="0.2">
      <c r="T43" s="119"/>
    </row>
    <row r="44" spans="2:20" x14ac:dyDescent="0.2">
      <c r="B44" s="22" t="s">
        <v>596</v>
      </c>
      <c r="C44" s="22">
        <v>1</v>
      </c>
      <c r="D44" s="22">
        <f>C44+1</f>
        <v>2</v>
      </c>
      <c r="E44" s="22">
        <f t="shared" ref="E44:J44" si="0">D44+1</f>
        <v>3</v>
      </c>
      <c r="F44" s="22">
        <f t="shared" si="0"/>
        <v>4</v>
      </c>
      <c r="G44" s="22">
        <f t="shared" si="0"/>
        <v>5</v>
      </c>
      <c r="H44" s="22">
        <f t="shared" si="0"/>
        <v>6</v>
      </c>
      <c r="I44" s="22">
        <f t="shared" si="0"/>
        <v>7</v>
      </c>
      <c r="J44" s="22">
        <f t="shared" si="0"/>
        <v>8</v>
      </c>
      <c r="K44" s="22">
        <v>9</v>
      </c>
      <c r="T44" s="119"/>
    </row>
    <row r="45" spans="2:20" s="31" customFormat="1" ht="40.5" customHeight="1" x14ac:dyDescent="0.2">
      <c r="B45" s="348" t="s">
        <v>597</v>
      </c>
      <c r="C45" s="349" t="s">
        <v>65</v>
      </c>
      <c r="D45" s="349" t="s">
        <v>66</v>
      </c>
      <c r="E45" s="349" t="s">
        <v>67</v>
      </c>
      <c r="F45" s="349" t="s">
        <v>598</v>
      </c>
      <c r="G45" s="349" t="s">
        <v>68</v>
      </c>
      <c r="H45" s="349" t="s">
        <v>599</v>
      </c>
      <c r="I45" s="349" t="s">
        <v>69</v>
      </c>
      <c r="J45" s="349" t="s">
        <v>70</v>
      </c>
      <c r="K45" s="349" t="s">
        <v>600</v>
      </c>
      <c r="T45" s="350"/>
    </row>
    <row r="46" spans="2:20" ht="33" customHeight="1" x14ac:dyDescent="0.2">
      <c r="B46" s="351" t="str">
        <f>+"From LCU "&amp;C46&amp;"  to LCU "&amp;D46</f>
        <v>From LCU 235001  to LCU 335000</v>
      </c>
      <c r="C46" s="127">
        <v>235001</v>
      </c>
      <c r="D46" s="127">
        <v>335000</v>
      </c>
      <c r="E46" s="352">
        <f>C46</f>
        <v>235001</v>
      </c>
      <c r="F46" s="352">
        <f>IF($D$19&lt;C46,0,IF($D$19&gt;D46,D46-C46,$D$19-C46))</f>
        <v>99999</v>
      </c>
      <c r="G46" s="128">
        <v>0</v>
      </c>
      <c r="H46" s="353">
        <f>IF($D$19&lt;C46,0,IF($D$19&gt;D46,F46*G46,($D$19-C46)*G46))</f>
        <v>0</v>
      </c>
      <c r="I46" s="352">
        <v>0</v>
      </c>
      <c r="J46" s="127"/>
      <c r="L46" s="354"/>
      <c r="M46" s="354"/>
      <c r="T46" s="119"/>
    </row>
    <row r="47" spans="2:20" ht="33" customHeight="1" x14ac:dyDescent="0.2">
      <c r="B47" s="351" t="str">
        <f t="shared" ref="B47:B53" si="1">+"From LCU "&amp;C47&amp;"  to LCU "&amp;D47</f>
        <v>From LCU 335001  to LCU 410000</v>
      </c>
      <c r="C47" s="127">
        <v>335001</v>
      </c>
      <c r="D47" s="127">
        <v>410000</v>
      </c>
      <c r="E47" s="352">
        <f t="shared" ref="E47:E52" si="2">D46</f>
        <v>335000</v>
      </c>
      <c r="F47" s="352">
        <f t="shared" ref="F47:F52" si="3">IF($D$19&lt;C47,0,IF($D$19&gt;D47,D47-C47,$D$19-C47))</f>
        <v>74999</v>
      </c>
      <c r="G47" s="128">
        <v>0.05</v>
      </c>
      <c r="H47" s="353">
        <f>IF($D$19&lt;C47,0,IF($D$19&gt;D47,F47*G47,($D$19-C47)*G47))</f>
        <v>3749.9500000000003</v>
      </c>
      <c r="I47" s="352">
        <f t="shared" ref="I47:I52" si="4">0.0001+(D46-C46)*G46+I46</f>
        <v>1E-4</v>
      </c>
      <c r="J47" s="355"/>
      <c r="K47" s="356"/>
      <c r="M47"/>
      <c r="T47" s="59"/>
    </row>
    <row r="48" spans="2:20" ht="33" customHeight="1" x14ac:dyDescent="0.2">
      <c r="B48" s="351" t="str">
        <f t="shared" si="1"/>
        <v>From LCU 410001  to LCU 10000000</v>
      </c>
      <c r="C48" s="127">
        <v>410001</v>
      </c>
      <c r="D48" s="127">
        <v>10000000</v>
      </c>
      <c r="E48" s="352">
        <f t="shared" si="2"/>
        <v>410000</v>
      </c>
      <c r="F48" s="352">
        <f t="shared" si="3"/>
        <v>9589999</v>
      </c>
      <c r="G48" s="128">
        <v>0.1</v>
      </c>
      <c r="H48" s="353">
        <f t="shared" ref="H48:H53" si="5">IF($D$19&lt;C48,0,IF($D$19&gt;D48,F48*G48,($D$19-C48)*G48))</f>
        <v>958999.9</v>
      </c>
      <c r="I48" s="352">
        <f t="shared" si="4"/>
        <v>3749.9502000000007</v>
      </c>
      <c r="J48" s="355"/>
      <c r="K48" s="356"/>
      <c r="L48" s="354"/>
      <c r="M48" s="354"/>
      <c r="T48" s="59"/>
    </row>
    <row r="49" spans="1:20" ht="33" customHeight="1" x14ac:dyDescent="0.2">
      <c r="B49" s="351" t="str">
        <f t="shared" si="1"/>
        <v xml:space="preserve">From LCU   to LCU </v>
      </c>
      <c r="C49" s="127"/>
      <c r="D49" s="127"/>
      <c r="E49" s="352">
        <f t="shared" si="2"/>
        <v>10000000</v>
      </c>
      <c r="F49" s="352">
        <f t="shared" si="3"/>
        <v>0</v>
      </c>
      <c r="G49" s="128">
        <v>0.15</v>
      </c>
      <c r="H49" s="353">
        <f t="shared" si="5"/>
        <v>0</v>
      </c>
      <c r="I49" s="352">
        <f t="shared" si="4"/>
        <v>962749.85029999993</v>
      </c>
      <c r="J49" s="355"/>
      <c r="K49" s="356"/>
      <c r="L49"/>
      <c r="M49" s="357"/>
      <c r="T49" s="119"/>
    </row>
    <row r="50" spans="1:20" ht="33" customHeight="1" x14ac:dyDescent="0.2">
      <c r="B50" s="351" t="str">
        <f t="shared" si="1"/>
        <v xml:space="preserve">From LCU   to LCU </v>
      </c>
      <c r="C50" s="127"/>
      <c r="D50" s="127"/>
      <c r="E50" s="352">
        <f t="shared" si="2"/>
        <v>0</v>
      </c>
      <c r="F50" s="352">
        <f t="shared" si="3"/>
        <v>0</v>
      </c>
      <c r="G50" s="128">
        <v>0.2</v>
      </c>
      <c r="H50" s="353">
        <f t="shared" si="5"/>
        <v>0</v>
      </c>
      <c r="I50" s="352">
        <f>0.0001+(D49-C49)*G49+I49</f>
        <v>962749.85039999988</v>
      </c>
      <c r="J50" s="355"/>
      <c r="K50" s="356"/>
      <c r="L50"/>
      <c r="M50" s="357"/>
      <c r="T50" s="119"/>
    </row>
    <row r="51" spans="1:20" ht="33" customHeight="1" x14ac:dyDescent="0.2">
      <c r="B51" s="351" t="str">
        <f t="shared" si="1"/>
        <v xml:space="preserve">From LCU   to LCU </v>
      </c>
      <c r="C51" s="127"/>
      <c r="D51" s="127"/>
      <c r="E51" s="352">
        <f t="shared" si="2"/>
        <v>0</v>
      </c>
      <c r="F51" s="352">
        <f t="shared" si="3"/>
        <v>0</v>
      </c>
      <c r="G51" s="128">
        <v>0.25</v>
      </c>
      <c r="H51" s="353">
        <f t="shared" si="5"/>
        <v>0</v>
      </c>
      <c r="I51" s="352">
        <f t="shared" si="4"/>
        <v>962749.85049999983</v>
      </c>
      <c r="J51" s="355"/>
      <c r="K51" s="356"/>
      <c r="L51"/>
      <c r="M51" s="357"/>
      <c r="T51" s="119"/>
    </row>
    <row r="52" spans="1:20" ht="33" customHeight="1" x14ac:dyDescent="0.2">
      <c r="B52" s="351" t="str">
        <f t="shared" si="1"/>
        <v xml:space="preserve">From LCU   to LCU </v>
      </c>
      <c r="C52" s="127"/>
      <c r="D52" s="127"/>
      <c r="E52" s="352">
        <f t="shared" si="2"/>
        <v>0</v>
      </c>
      <c r="F52" s="352">
        <f t="shared" si="3"/>
        <v>0</v>
      </c>
      <c r="G52" s="128">
        <v>0.3</v>
      </c>
      <c r="H52" s="353">
        <f t="shared" si="5"/>
        <v>0</v>
      </c>
      <c r="I52" s="352">
        <f t="shared" si="4"/>
        <v>962749.85059999977</v>
      </c>
      <c r="J52" s="355"/>
      <c r="K52" s="356"/>
      <c r="L52"/>
      <c r="M52" s="357"/>
      <c r="T52" s="119"/>
    </row>
    <row r="53" spans="1:20" ht="33" customHeight="1" x14ac:dyDescent="0.2">
      <c r="B53" s="351" t="str">
        <f t="shared" si="1"/>
        <v xml:space="preserve">From LCU   to LCU </v>
      </c>
      <c r="C53" s="355"/>
      <c r="D53" s="355"/>
      <c r="E53" s="352">
        <f t="shared" ref="E53" si="6">D52</f>
        <v>0</v>
      </c>
      <c r="F53" s="352"/>
      <c r="G53" s="128">
        <v>0.35</v>
      </c>
      <c r="H53" s="353">
        <f t="shared" si="5"/>
        <v>0</v>
      </c>
      <c r="I53" s="352"/>
      <c r="J53" s="355"/>
      <c r="K53" s="356"/>
      <c r="L53" s="354"/>
      <c r="M53" s="354"/>
      <c r="T53" s="119"/>
    </row>
    <row r="54" spans="1:20" x14ac:dyDescent="0.2">
      <c r="D54" s="119"/>
      <c r="E54" s="119"/>
      <c r="F54" s="119"/>
      <c r="G54" s="119"/>
      <c r="H54" s="59"/>
      <c r="I54" s="59"/>
      <c r="J54" s="119"/>
      <c r="K54" s="119"/>
      <c r="N54" s="129"/>
      <c r="R54" s="119"/>
      <c r="S54" s="119"/>
      <c r="T54" s="119"/>
    </row>
    <row r="55" spans="1:20" x14ac:dyDescent="0.2">
      <c r="M55" s="237"/>
    </row>
    <row r="56" spans="1:20" x14ac:dyDescent="0.2">
      <c r="A56"/>
      <c r="B56"/>
      <c r="C56"/>
      <c r="D56"/>
      <c r="E56"/>
      <c r="F56"/>
      <c r="G56"/>
      <c r="H56"/>
      <c r="I56"/>
      <c r="J56"/>
      <c r="K56"/>
      <c r="L56"/>
      <c r="M56" s="358"/>
      <c r="N56" s="60"/>
    </row>
    <row r="57" spans="1:20" x14ac:dyDescent="0.2">
      <c r="A57"/>
      <c r="B57"/>
      <c r="C57"/>
      <c r="E57"/>
      <c r="F57"/>
      <c r="G57"/>
      <c r="H57"/>
      <c r="I57"/>
      <c r="J57"/>
      <c r="K57"/>
      <c r="L57"/>
      <c r="M57" s="86"/>
    </row>
    <row r="58" spans="1:20" x14ac:dyDescent="0.2">
      <c r="A58"/>
      <c r="B58"/>
      <c r="E58"/>
      <c r="F58"/>
      <c r="G58"/>
      <c r="H58"/>
      <c r="I58"/>
      <c r="J58"/>
      <c r="K58"/>
      <c r="L58"/>
      <c r="M58" s="237"/>
      <c r="N58" s="60"/>
      <c r="O58"/>
    </row>
    <row r="59" spans="1:20" x14ac:dyDescent="0.2">
      <c r="A59"/>
      <c r="B59"/>
      <c r="E59"/>
      <c r="F59"/>
      <c r="G59"/>
      <c r="H59"/>
      <c r="I59"/>
      <c r="J59"/>
      <c r="K59"/>
      <c r="L59"/>
      <c r="M59" s="129"/>
    </row>
    <row r="60" spans="1:20" x14ac:dyDescent="0.2">
      <c r="A60"/>
      <c r="B60"/>
      <c r="E60"/>
      <c r="F60"/>
      <c r="G60"/>
      <c r="H60"/>
      <c r="I60"/>
      <c r="J60"/>
      <c r="K60"/>
      <c r="L60"/>
      <c r="M60" s="129"/>
    </row>
    <row r="61" spans="1:20" x14ac:dyDescent="0.2">
      <c r="A61"/>
      <c r="B61"/>
      <c r="E61"/>
      <c r="F61"/>
      <c r="G61"/>
      <c r="H61"/>
      <c r="I61"/>
      <c r="J61"/>
      <c r="K61"/>
      <c r="L61"/>
    </row>
    <row r="62" spans="1:20" x14ac:dyDescent="0.2">
      <c r="A62"/>
      <c r="B62"/>
      <c r="E62"/>
      <c r="F62"/>
      <c r="G62"/>
      <c r="H62"/>
      <c r="I62"/>
      <c r="J62"/>
      <c r="K62"/>
      <c r="L62"/>
      <c r="M62" s="130"/>
    </row>
    <row r="63" spans="1:20" x14ac:dyDescent="0.2">
      <c r="A63"/>
      <c r="B63"/>
      <c r="E63"/>
      <c r="F63"/>
      <c r="G63"/>
      <c r="H63"/>
      <c r="I63"/>
      <c r="J63"/>
      <c r="K63"/>
      <c r="L63"/>
    </row>
    <row r="64" spans="1:20" x14ac:dyDescent="0.2">
      <c r="A64"/>
      <c r="B64"/>
      <c r="E64"/>
      <c r="F64"/>
      <c r="G64"/>
      <c r="H64"/>
      <c r="I64"/>
      <c r="J64"/>
      <c r="K64"/>
      <c r="L64"/>
    </row>
    <row r="65" spans="1:15" x14ac:dyDescent="0.2">
      <c r="A65"/>
      <c r="B65"/>
      <c r="E65"/>
      <c r="F65"/>
      <c r="G65"/>
      <c r="H65"/>
      <c r="I65"/>
      <c r="J65"/>
      <c r="K65"/>
      <c r="L65"/>
    </row>
    <row r="66" spans="1:15" x14ac:dyDescent="0.2">
      <c r="A66"/>
      <c r="B66"/>
      <c r="E66"/>
      <c r="F66"/>
      <c r="G66"/>
      <c r="H66"/>
      <c r="I66"/>
      <c r="J66"/>
      <c r="K66"/>
      <c r="L66"/>
    </row>
    <row r="67" spans="1:15" x14ac:dyDescent="0.2">
      <c r="A67"/>
      <c r="B67"/>
      <c r="E67"/>
      <c r="F67"/>
      <c r="G67"/>
      <c r="H67"/>
      <c r="I67"/>
      <c r="J67"/>
      <c r="K67"/>
      <c r="L67"/>
    </row>
    <row r="68" spans="1:15" x14ac:dyDescent="0.2">
      <c r="A68"/>
      <c r="B68"/>
      <c r="E68"/>
      <c r="F68"/>
      <c r="G68"/>
      <c r="H68"/>
      <c r="I68"/>
      <c r="J68"/>
      <c r="K68"/>
      <c r="L68"/>
      <c r="M68" s="237"/>
      <c r="N68" s="86"/>
      <c r="O68" s="86"/>
    </row>
  </sheetData>
  <mergeCells count="2">
    <mergeCell ref="B8:K8"/>
    <mergeCell ref="B36:K36"/>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498C5-F809-4451-B381-CBEF9F1BC9F7}">
  <dimension ref="A2:AI307"/>
  <sheetViews>
    <sheetView showGridLines="0" topLeftCell="A273" zoomScale="93" zoomScaleNormal="85" workbookViewId="0">
      <selection activeCell="D276" sqref="D276"/>
    </sheetView>
  </sheetViews>
  <sheetFormatPr baseColWidth="10" defaultColWidth="8.83203125" defaultRowHeight="15" x14ac:dyDescent="0.2"/>
  <cols>
    <col min="1" max="1" width="8.83203125" style="22"/>
    <col min="2" max="2" width="38.83203125" style="22" customWidth="1"/>
    <col min="3" max="3" width="21.83203125" style="22" customWidth="1"/>
    <col min="4" max="11" width="20.1640625" style="22" customWidth="1"/>
    <col min="12" max="12" width="15.83203125" style="22" customWidth="1"/>
    <col min="13" max="18" width="23.83203125" style="22" customWidth="1"/>
    <col min="19" max="24" width="8.83203125" style="22"/>
    <col min="25" max="25" width="12.83203125" style="22" customWidth="1"/>
    <col min="26" max="26" width="8.83203125" style="22"/>
    <col min="27" max="27" width="12.5" style="22" customWidth="1"/>
    <col min="28" max="31" width="12.1640625" style="22" customWidth="1"/>
    <col min="32" max="16384" width="8.83203125" style="22"/>
  </cols>
  <sheetData>
    <row r="2" spans="2:19" ht="62" x14ac:dyDescent="0.7">
      <c r="B2" s="21" t="s">
        <v>293</v>
      </c>
    </row>
    <row r="4" spans="2:19" x14ac:dyDescent="0.2">
      <c r="B4" s="23" t="s">
        <v>52</v>
      </c>
    </row>
    <row r="5" spans="2:19" ht="41.25" customHeight="1" x14ac:dyDescent="0.2">
      <c r="B5" s="434" t="s">
        <v>465</v>
      </c>
      <c r="C5" s="434"/>
      <c r="D5" s="434"/>
      <c r="E5" s="434"/>
      <c r="F5" s="434"/>
      <c r="G5" s="434"/>
      <c r="H5" s="434"/>
      <c r="I5" s="434"/>
      <c r="J5" s="434"/>
      <c r="K5" s="434"/>
      <c r="L5" s="434"/>
      <c r="M5" s="434"/>
      <c r="N5" s="434"/>
      <c r="O5" s="434"/>
      <c r="P5" s="434"/>
      <c r="Q5" s="434"/>
      <c r="R5" s="434"/>
      <c r="S5" s="434"/>
    </row>
    <row r="7" spans="2:19" s="25" customFormat="1" ht="21.75" customHeight="1" x14ac:dyDescent="0.25">
      <c r="B7" s="24" t="s">
        <v>497</v>
      </c>
    </row>
    <row r="9" spans="2:19" x14ac:dyDescent="0.2">
      <c r="B9" s="26" t="s">
        <v>498</v>
      </c>
      <c r="C9" s="22" t="s">
        <v>500</v>
      </c>
      <c r="D9" s="27" t="str">
        <f>'OUTPUT_Living wage'!E15</f>
        <v>Personalized</v>
      </c>
      <c r="F9" s="22" t="s">
        <v>506</v>
      </c>
      <c r="G9" s="27" t="str">
        <f>D9</f>
        <v>Personalized</v>
      </c>
    </row>
    <row r="10" spans="2:19" x14ac:dyDescent="0.2">
      <c r="B10" s="22" t="s">
        <v>499</v>
      </c>
      <c r="C10" s="22" t="str">
        <f>'OUTPUT_Living wage'!C18</f>
        <v>Number of adults</v>
      </c>
      <c r="D10" s="27">
        <f>'OUTPUT_Living wage'!E18</f>
        <v>2</v>
      </c>
      <c r="F10" s="22" t="s">
        <v>507</v>
      </c>
      <c r="G10" s="27">
        <f>IF('OUTPUT_Living wage'!$E$15='Background calculations'!$B$11,'1. Setting the boundaries'!D25,1)</f>
        <v>1</v>
      </c>
    </row>
    <row r="11" spans="2:19" x14ac:dyDescent="0.2">
      <c r="B11" s="22" t="s">
        <v>493</v>
      </c>
      <c r="C11" s="22" t="str">
        <f>'OUTPUT_Living wage'!C19</f>
        <v>Number of children</v>
      </c>
      <c r="D11" s="27">
        <f>'OUTPUT_Living wage'!E19</f>
        <v>2</v>
      </c>
      <c r="F11" s="22" t="s">
        <v>508</v>
      </c>
      <c r="G11" s="27">
        <f>IF('OUTPUT_Living wage'!$E$15='Background calculations'!$B$11,'1. Setting the boundaries'!D26,1)</f>
        <v>1</v>
      </c>
    </row>
    <row r="12" spans="2:19" x14ac:dyDescent="0.2">
      <c r="C12" s="22" t="str">
        <f>'OUTPUT_Living wage'!C20</f>
        <v>Number of working adults</v>
      </c>
      <c r="D12" s="27">
        <f>'OUTPUT_Living wage'!E20</f>
        <v>2</v>
      </c>
      <c r="F12" s="22" t="s">
        <v>31</v>
      </c>
      <c r="G12" s="27">
        <f>IF('OUTPUT_Living wage'!$E$15='Background calculations'!$B$11,'1. Setting the boundaries'!D27,D11)</f>
        <v>2</v>
      </c>
    </row>
    <row r="16" spans="2:19" s="25" customFormat="1" ht="21.75" customHeight="1" x14ac:dyDescent="0.25">
      <c r="B16" s="24" t="s">
        <v>341</v>
      </c>
    </row>
    <row r="19" spans="2:19" x14ac:dyDescent="0.2">
      <c r="B19" s="28" t="s">
        <v>272</v>
      </c>
      <c r="C19" s="28"/>
      <c r="D19" s="28"/>
      <c r="E19" s="29"/>
      <c r="F19" s="29"/>
      <c r="G19" s="29"/>
      <c r="H19" s="29"/>
      <c r="I19" s="29"/>
      <c r="J19" s="29"/>
      <c r="K19" s="29"/>
      <c r="L19" s="29"/>
      <c r="M19" s="29"/>
      <c r="N19" s="29"/>
      <c r="O19" s="29"/>
      <c r="P19" s="29"/>
      <c r="Q19" s="29"/>
      <c r="R19" s="29"/>
      <c r="S19" s="29"/>
    </row>
    <row r="21" spans="2:19" x14ac:dyDescent="0.2">
      <c r="B21" s="22" t="s">
        <v>88</v>
      </c>
      <c r="C21" s="27">
        <f>'1. Setting the boundaries'!D45*(1-('1. Setting the boundaries'!D46/1000))</f>
        <v>0.1623125</v>
      </c>
      <c r="D21" s="27">
        <f>'1. Setting the boundaries'!E45*(1-('1. Setting the boundaries'!E46/1000))</f>
        <v>0.1623125</v>
      </c>
      <c r="E21" s="27">
        <f>'1. Setting the boundaries'!F45*(1-('1. Setting the boundaries'!F46/1000))</f>
        <v>0.16297500000000001</v>
      </c>
    </row>
    <row r="23" spans="2:19" x14ac:dyDescent="0.2">
      <c r="B23" s="22" t="s">
        <v>81</v>
      </c>
      <c r="C23" s="27">
        <f>AVERAGE('1. Setting the boundaries'!D44,'1. Setting the boundaries'!F44)</f>
        <v>0.12916666666666668</v>
      </c>
      <c r="D23" s="27">
        <f>AVERAGE('1. Setting the boundaries'!E44,'1. Setting the boundaries'!F44)</f>
        <v>0.12916666666666668</v>
      </c>
      <c r="E23" s="27">
        <f>'1. Setting the boundaries'!F44</f>
        <v>0.12916666666666668</v>
      </c>
    </row>
    <row r="24" spans="2:19" x14ac:dyDescent="0.2">
      <c r="B24" s="22" t="s">
        <v>89</v>
      </c>
      <c r="C24" s="30">
        <f>C23-'1. Setting the boundaries'!$D$16</f>
        <v>-1.8708333333333333</v>
      </c>
      <c r="D24" s="30">
        <f>D23-'1. Setting the boundaries'!$D$16</f>
        <v>-1.8708333333333333</v>
      </c>
      <c r="E24" s="30">
        <f>IF(E23-'1. Setting the boundaries'!$D$16&lt;0,0,E23-'1. Setting the boundaries'!$D$16)</f>
        <v>0</v>
      </c>
    </row>
    <row r="25" spans="2:19" x14ac:dyDescent="0.2">
      <c r="B25" s="22" t="s">
        <v>90</v>
      </c>
      <c r="C25" s="30">
        <f>C21</f>
        <v>0.1623125</v>
      </c>
      <c r="D25" s="30">
        <f>D21</f>
        <v>0.1623125</v>
      </c>
      <c r="E25" s="30">
        <f>E21</f>
        <v>0.16297500000000001</v>
      </c>
    </row>
    <row r="27" spans="2:19" x14ac:dyDescent="0.2">
      <c r="B27" s="28" t="s">
        <v>280</v>
      </c>
      <c r="C27" s="28"/>
      <c r="D27" s="28"/>
      <c r="E27" s="29"/>
      <c r="F27" s="29"/>
      <c r="G27" s="29"/>
      <c r="H27" s="29"/>
      <c r="I27" s="29"/>
      <c r="J27" s="29"/>
      <c r="K27" s="29"/>
      <c r="L27" s="29"/>
      <c r="M27" s="29"/>
      <c r="N27" s="29"/>
      <c r="O27" s="29"/>
      <c r="P27" s="29"/>
      <c r="Q27" s="29"/>
      <c r="R27" s="29"/>
      <c r="S27" s="29"/>
    </row>
    <row r="29" spans="2:19" ht="32" x14ac:dyDescent="0.2">
      <c r="B29" s="31" t="s">
        <v>91</v>
      </c>
      <c r="C29" s="32">
        <f>'1. Setting the boundaries'!D64*(100%-'1. Setting the boundaries'!D65)*(100%-('1. Setting the boundaries'!D66/2))</f>
        <v>0.69267699999999999</v>
      </c>
      <c r="D29" s="32">
        <f>'1. Setting the boundaries'!E64*(100%-'1. Setting the boundaries'!E65)*(100%-('1. Setting the boundaries'!E66/2))</f>
        <v>0.77551499999999984</v>
      </c>
      <c r="E29" s="32">
        <f>'1. Setting the boundaries'!F64*(100%-'1. Setting the boundaries'!F65)*(100%-('1. Setting the boundaries'!F66/2))</f>
        <v>0.73390200000000005</v>
      </c>
    </row>
    <row r="30" spans="2:19" ht="32" x14ac:dyDescent="0.2">
      <c r="B30" s="31" t="s">
        <v>92</v>
      </c>
      <c r="C30" s="33">
        <f>C29</f>
        <v>0.69267699999999999</v>
      </c>
      <c r="D30" s="33">
        <f>D29</f>
        <v>0.77551499999999984</v>
      </c>
      <c r="E30" s="33">
        <f>E29</f>
        <v>0.73390200000000005</v>
      </c>
    </row>
    <row r="33" spans="2:19" s="25" customFormat="1" ht="21.75" customHeight="1" x14ac:dyDescent="0.25">
      <c r="B33" s="24" t="s">
        <v>340</v>
      </c>
    </row>
    <row r="35" spans="2:19" ht="20.5" customHeight="1" x14ac:dyDescent="0.2">
      <c r="B35" s="28" t="s">
        <v>348</v>
      </c>
      <c r="C35" s="28"/>
      <c r="D35" s="28"/>
      <c r="E35" s="28"/>
      <c r="F35" s="28"/>
      <c r="G35" s="28"/>
      <c r="H35" s="28"/>
      <c r="I35" s="28"/>
      <c r="J35" s="28"/>
      <c r="K35" s="28"/>
      <c r="L35" s="28"/>
      <c r="M35" s="28"/>
      <c r="N35" s="28"/>
      <c r="O35" s="28"/>
      <c r="P35" s="28"/>
      <c r="Q35" s="28"/>
      <c r="R35" s="28"/>
      <c r="S35" s="28"/>
    </row>
    <row r="37" spans="2:19" x14ac:dyDescent="0.2">
      <c r="B37" s="34" t="s">
        <v>144</v>
      </c>
      <c r="C37" s="35">
        <v>6</v>
      </c>
      <c r="E37"/>
      <c r="F37"/>
    </row>
    <row r="38" spans="2:19" x14ac:dyDescent="0.2">
      <c r="B38" s="34"/>
      <c r="C38" s="36"/>
    </row>
    <row r="39" spans="2:19" ht="20.5" customHeight="1" x14ac:dyDescent="0.2">
      <c r="B39" s="28" t="s">
        <v>349</v>
      </c>
      <c r="C39" s="28"/>
      <c r="D39" s="28"/>
      <c r="E39" s="28"/>
      <c r="F39" s="28"/>
      <c r="G39" s="28"/>
      <c r="H39" s="28"/>
      <c r="I39" s="28"/>
      <c r="J39" s="28"/>
      <c r="K39" s="28"/>
      <c r="L39" s="28"/>
      <c r="M39" s="28"/>
      <c r="N39" s="28"/>
      <c r="O39" s="28"/>
      <c r="P39" s="28"/>
      <c r="Q39" s="28"/>
      <c r="R39" s="28"/>
      <c r="S39" s="28"/>
    </row>
    <row r="41" spans="2:19" x14ac:dyDescent="0.2">
      <c r="I41" s="438" t="s">
        <v>375</v>
      </c>
      <c r="J41" s="439"/>
      <c r="K41" s="439"/>
      <c r="L41" s="440"/>
      <c r="N41" s="438" t="s">
        <v>378</v>
      </c>
      <c r="O41" s="439"/>
      <c r="P41" s="439"/>
      <c r="Q41" s="440"/>
    </row>
    <row r="42" spans="2:19" ht="32" x14ac:dyDescent="0.2">
      <c r="B42" s="37" t="s">
        <v>122</v>
      </c>
      <c r="C42" s="38" t="s">
        <v>321</v>
      </c>
      <c r="D42" s="39" t="s">
        <v>14</v>
      </c>
      <c r="E42" s="39" t="s">
        <v>145</v>
      </c>
      <c r="F42" s="39" t="s">
        <v>234</v>
      </c>
      <c r="G42" s="39" t="s">
        <v>132</v>
      </c>
      <c r="H42" s="39" t="s">
        <v>379</v>
      </c>
      <c r="I42" s="39" t="s">
        <v>236</v>
      </c>
      <c r="J42" s="39" t="s">
        <v>140</v>
      </c>
      <c r="K42" s="39" t="s">
        <v>141</v>
      </c>
      <c r="L42" s="39" t="s">
        <v>142</v>
      </c>
      <c r="M42" s="38" t="s">
        <v>376</v>
      </c>
      <c r="N42" s="39" t="s">
        <v>143</v>
      </c>
      <c r="O42" s="39" t="s">
        <v>137</v>
      </c>
      <c r="P42" s="39" t="s">
        <v>237</v>
      </c>
      <c r="Q42" s="39" t="s">
        <v>139</v>
      </c>
      <c r="R42" s="38" t="s">
        <v>377</v>
      </c>
      <c r="S42" s="31" t="s">
        <v>521</v>
      </c>
    </row>
    <row r="43" spans="2:19" x14ac:dyDescent="0.2">
      <c r="B43" s="22" t="s">
        <v>322</v>
      </c>
      <c r="C43" s="22" t="b">
        <f>AND('Background calculations'!M43,'Background calculations'!R43,S43="Yes")</f>
        <v>1</v>
      </c>
      <c r="D43" s="40" cm="1">
        <f t="array" ref="D43:D57">TRANSPOSE('CLS - Input data'!D18:R18)</f>
        <v>4</v>
      </c>
      <c r="E43" s="41" cm="1">
        <f t="array" ref="E43:E57">TRANSPOSE('CLS - Input data'!D20:R20)+TRANSPOSE('CLS - Input data'!D21:R21)</f>
        <v>2</v>
      </c>
      <c r="F43" s="40" cm="1">
        <f t="array" ref="F43:F57">TRANSPOSE('CLS - Input data'!D23:R23)</f>
        <v>3</v>
      </c>
      <c r="G43" s="42" cm="1">
        <f t="array" ref="G43:G57">TRANSPOSE('Background calculations'!C65:Q65)</f>
        <v>1.3333333333333333</v>
      </c>
      <c r="H43" s="40" cm="1">
        <f t="array" ref="H43:H57">TRANSPOSE('CLS - Input data'!D24:R24)</f>
        <v>25.08</v>
      </c>
      <c r="I43" s="43">
        <f>H43/D43</f>
        <v>6.27</v>
      </c>
      <c r="J43" s="44" t="str" cm="1">
        <f t="array" ref="J43:J57">TRANSPOSE('Decent housing'!E30:S30)</f>
        <v>Yes</v>
      </c>
      <c r="K43" s="44" t="str" cm="1">
        <f t="array" ref="K43:K57">TRANSPOSE('Decent housing'!E29:S29)</f>
        <v>Yes</v>
      </c>
      <c r="L43" s="44" t="str" cm="1">
        <f t="array" ref="L43:L57">TRANSPOSE('Decent housing'!E28:S28)</f>
        <v>Yes</v>
      </c>
      <c r="M43" s="45" t="b">
        <f>AND(IF(G43&lt;='2. Housing costs'!$D$28,TRUE,H43/D43 &gt;='Background calculations'!$C$37),J43="Yes",K43="Yes",L43="Yes")</f>
        <v>1</v>
      </c>
      <c r="N43" s="46" t="str" cm="1">
        <f t="array" ref="N43:N57">TRANSPOSE('Decent housing'!E31:S31)</f>
        <v>Yes</v>
      </c>
      <c r="O43" s="46" t="str" cm="1">
        <f t="array" ref="O43:O57">TRANSPOSE('Decent housing'!E32:S32)</f>
        <v>Yes</v>
      </c>
      <c r="P43" s="46" t="str" cm="1">
        <f t="array" ref="P43:P57">TRANSPOSE('Decent housing'!E33:S33)</f>
        <v>Yes</v>
      </c>
      <c r="Q43" s="46" t="str" cm="1">
        <f t="array" ref="Q43:Q57">TRANSPOSE('Decent housing'!E34:S34)</f>
        <v>Yes</v>
      </c>
      <c r="R43" s="45" t="b">
        <f t="shared" ref="R43:R57" si="0">COUNTIF(N43:Q43,"Yes")&gt;=3</f>
        <v>1</v>
      </c>
      <c r="S43" s="22" t="str" cm="1">
        <f t="array" ref="S43:S57">TRANSPOSE('Decent housing'!E27:S27)</f>
        <v>Yes</v>
      </c>
    </row>
    <row r="44" spans="2:19" x14ac:dyDescent="0.2">
      <c r="B44" s="22" t="s">
        <v>323</v>
      </c>
      <c r="C44" s="22" t="b">
        <f>AND('Background calculations'!M44,'Background calculations'!R44,S44="Yes")</f>
        <v>1</v>
      </c>
      <c r="D44" s="40">
        <v>4</v>
      </c>
      <c r="E44" s="41">
        <v>2</v>
      </c>
      <c r="F44" s="40">
        <v>2</v>
      </c>
      <c r="G44" s="42">
        <v>2</v>
      </c>
      <c r="H44" s="40">
        <v>40.25</v>
      </c>
      <c r="I44" s="43">
        <f t="shared" ref="I44:I57" si="1">H44/D44</f>
        <v>10.0625</v>
      </c>
      <c r="J44" s="44" t="str">
        <v>Yes</v>
      </c>
      <c r="K44" s="44" t="str">
        <v>Yes</v>
      </c>
      <c r="L44" s="44" t="str">
        <v>Yes</v>
      </c>
      <c r="M44" s="45" t="b">
        <f>AND(IF(G44&lt;='2. Housing costs'!$D$28,TRUE,H44/D44 &gt;='Background calculations'!$C$37),J44="Yes",K44="Yes",L44="Yes")</f>
        <v>1</v>
      </c>
      <c r="N44" s="46" t="str">
        <v>Yes</v>
      </c>
      <c r="O44" s="46" t="str">
        <v>Yes</v>
      </c>
      <c r="P44" s="46" t="str">
        <v>Yes</v>
      </c>
      <c r="Q44" s="46" t="str">
        <v>Yes</v>
      </c>
      <c r="R44" s="45" t="b">
        <f t="shared" si="0"/>
        <v>1</v>
      </c>
      <c r="S44" s="22" t="str">
        <v>Yes</v>
      </c>
    </row>
    <row r="45" spans="2:19" x14ac:dyDescent="0.2">
      <c r="B45" s="22" t="s">
        <v>324</v>
      </c>
      <c r="C45" s="22" t="b">
        <f>AND('Background calculations'!M45,'Background calculations'!R45,S45="Yes")</f>
        <v>1</v>
      </c>
      <c r="D45" s="40">
        <v>4</v>
      </c>
      <c r="E45" s="41">
        <v>2</v>
      </c>
      <c r="F45" s="40">
        <v>3</v>
      </c>
      <c r="G45" s="42">
        <v>1.3333333333333333</v>
      </c>
      <c r="H45" s="40">
        <v>44.59</v>
      </c>
      <c r="I45" s="43">
        <f t="shared" si="1"/>
        <v>11.147500000000001</v>
      </c>
      <c r="J45" s="44" t="str">
        <v>Yes</v>
      </c>
      <c r="K45" s="44" t="str">
        <v>Yes</v>
      </c>
      <c r="L45" s="44" t="str">
        <v>Yes</v>
      </c>
      <c r="M45" s="45" t="b">
        <f>AND(IF(G45&lt;='2. Housing costs'!$D$28,TRUE,H45/D45 &gt;='Background calculations'!$C$37),J45="Yes",K45="Yes",L45="Yes")</f>
        <v>1</v>
      </c>
      <c r="N45" s="46" t="str">
        <v>Yes</v>
      </c>
      <c r="O45" s="46" t="str">
        <v>Yes</v>
      </c>
      <c r="P45" s="46" t="str">
        <v>Yes</v>
      </c>
      <c r="Q45" s="46" t="str">
        <v>Yes</v>
      </c>
      <c r="R45" s="45" t="b">
        <f t="shared" si="0"/>
        <v>1</v>
      </c>
      <c r="S45" s="22" t="str">
        <v>Yes</v>
      </c>
    </row>
    <row r="46" spans="2:19" x14ac:dyDescent="0.2">
      <c r="B46" s="22" t="s">
        <v>325</v>
      </c>
      <c r="C46" s="22" t="b">
        <f>AND('Background calculations'!M46,'Background calculations'!R46,S46="Yes")</f>
        <v>1</v>
      </c>
      <c r="D46" s="40">
        <v>4</v>
      </c>
      <c r="E46" s="41">
        <v>2</v>
      </c>
      <c r="F46" s="40">
        <v>3</v>
      </c>
      <c r="G46" s="42">
        <v>1.3333333333333333</v>
      </c>
      <c r="H46" s="40">
        <v>66.89</v>
      </c>
      <c r="I46" s="43">
        <f t="shared" si="1"/>
        <v>16.7225</v>
      </c>
      <c r="J46" s="44" t="str">
        <v>Yes</v>
      </c>
      <c r="K46" s="44" t="str">
        <v>Yes</v>
      </c>
      <c r="L46" s="44" t="str">
        <v>Yes</v>
      </c>
      <c r="M46" s="45" t="b">
        <f>AND(IF(G46&lt;='2. Housing costs'!$D$28,TRUE,H46/D46 &gt;='Background calculations'!$C$37),J46="Yes",K46="Yes",L46="Yes")</f>
        <v>1</v>
      </c>
      <c r="N46" s="46" t="str">
        <v>Yes</v>
      </c>
      <c r="O46" s="46" t="str">
        <v>Yes</v>
      </c>
      <c r="P46" s="46" t="str">
        <v>Yes</v>
      </c>
      <c r="Q46" s="46" t="str">
        <v>Yes</v>
      </c>
      <c r="R46" s="45" t="b">
        <f t="shared" si="0"/>
        <v>1</v>
      </c>
      <c r="S46" s="22" t="str">
        <v>Yes</v>
      </c>
    </row>
    <row r="47" spans="2:19" x14ac:dyDescent="0.2">
      <c r="B47" s="22" t="s">
        <v>326</v>
      </c>
      <c r="C47" s="22" t="b">
        <f>AND('Background calculations'!M47,'Background calculations'!R47,S47="Yes")</f>
        <v>1</v>
      </c>
      <c r="D47" s="40">
        <v>4</v>
      </c>
      <c r="E47" s="41">
        <v>2</v>
      </c>
      <c r="F47" s="40">
        <v>2</v>
      </c>
      <c r="G47" s="42">
        <v>2</v>
      </c>
      <c r="H47" s="40">
        <v>80.3</v>
      </c>
      <c r="I47" s="43">
        <f t="shared" si="1"/>
        <v>20.074999999999999</v>
      </c>
      <c r="J47" s="44" t="str">
        <v>Yes</v>
      </c>
      <c r="K47" s="44" t="str">
        <v>Yes</v>
      </c>
      <c r="L47" s="44" t="str">
        <v>Yes</v>
      </c>
      <c r="M47" s="45" t="b">
        <f>AND(IF(G47&lt;='2. Housing costs'!$D$28,TRUE,H47/D47 &gt;='Background calculations'!$C$37),J47="Yes",K47="Yes",L47="Yes")</f>
        <v>1</v>
      </c>
      <c r="N47" s="46" t="str">
        <v>Yes</v>
      </c>
      <c r="O47" s="46" t="str">
        <v>Yes</v>
      </c>
      <c r="P47" s="46" t="str">
        <v>Yes</v>
      </c>
      <c r="Q47" s="46" t="str">
        <v>Yes</v>
      </c>
      <c r="R47" s="45" t="b">
        <f t="shared" si="0"/>
        <v>1</v>
      </c>
      <c r="S47" s="22" t="str">
        <v>Yes</v>
      </c>
    </row>
    <row r="48" spans="2:19" x14ac:dyDescent="0.2">
      <c r="B48" s="22" t="s">
        <v>327</v>
      </c>
      <c r="C48" s="22" t="b">
        <f>AND('Background calculations'!M48,'Background calculations'!R48,S48="Yes")</f>
        <v>1</v>
      </c>
      <c r="D48" s="40">
        <v>4</v>
      </c>
      <c r="E48" s="41">
        <v>2</v>
      </c>
      <c r="F48" s="40">
        <v>3</v>
      </c>
      <c r="G48" s="42">
        <v>1.3333333333333333</v>
      </c>
      <c r="H48" s="40">
        <v>66.89</v>
      </c>
      <c r="I48" s="43">
        <f t="shared" si="1"/>
        <v>16.7225</v>
      </c>
      <c r="J48" s="44" t="str">
        <v>Yes</v>
      </c>
      <c r="K48" s="44" t="str">
        <v>Yes</v>
      </c>
      <c r="L48" s="44" t="str">
        <v>Yes</v>
      </c>
      <c r="M48" s="45" t="b">
        <f>AND(IF(G48&lt;='2. Housing costs'!$D$28,TRUE,H48/D48 &gt;='Background calculations'!$C$37),J48="Yes",K48="Yes",L48="Yes")</f>
        <v>1</v>
      </c>
      <c r="N48" s="46" t="str">
        <v>Yes</v>
      </c>
      <c r="O48" s="46" t="str">
        <v>Yes</v>
      </c>
      <c r="P48" s="46" t="str">
        <v>Yes</v>
      </c>
      <c r="Q48" s="46" t="str">
        <v>Yes</v>
      </c>
      <c r="R48" s="45" t="b">
        <f t="shared" si="0"/>
        <v>1</v>
      </c>
      <c r="S48" s="22" t="str">
        <v>Yes</v>
      </c>
    </row>
    <row r="49" spans="2:19" x14ac:dyDescent="0.2">
      <c r="B49" s="22" t="s">
        <v>328</v>
      </c>
      <c r="C49" s="22" t="b">
        <f>AND('Background calculations'!M49,'Background calculations'!R49,S49="Yes")</f>
        <v>1</v>
      </c>
      <c r="D49" s="40">
        <v>4</v>
      </c>
      <c r="E49" s="41">
        <v>2</v>
      </c>
      <c r="F49" s="40">
        <v>3</v>
      </c>
      <c r="G49" s="42">
        <v>1.3333333333333333</v>
      </c>
      <c r="H49" s="40">
        <v>50.15</v>
      </c>
      <c r="I49" s="43">
        <f t="shared" si="1"/>
        <v>12.5375</v>
      </c>
      <c r="J49" s="44" t="str">
        <v>Yes</v>
      </c>
      <c r="K49" s="44" t="str">
        <v>Yes</v>
      </c>
      <c r="L49" s="44" t="str">
        <v>Yes</v>
      </c>
      <c r="M49" s="45" t="b">
        <f>AND(IF(G49&lt;='2. Housing costs'!$D$28,TRUE,H49/D49 &gt;='Background calculations'!$C$37),J49="Yes",K49="Yes",L49="Yes")</f>
        <v>1</v>
      </c>
      <c r="N49" s="46" t="str">
        <v>Yes</v>
      </c>
      <c r="O49" s="46" t="str">
        <v>Yes</v>
      </c>
      <c r="P49" s="46" t="str">
        <v>Yes</v>
      </c>
      <c r="Q49" s="46" t="str">
        <v>Yes</v>
      </c>
      <c r="R49" s="45" t="b">
        <f t="shared" si="0"/>
        <v>1</v>
      </c>
      <c r="S49" s="22" t="str">
        <v>Yes</v>
      </c>
    </row>
    <row r="50" spans="2:19" x14ac:dyDescent="0.2">
      <c r="B50" s="22" t="s">
        <v>329</v>
      </c>
      <c r="C50" s="22" t="b">
        <f>AND('Background calculations'!M50,'Background calculations'!R50,S50="Yes")</f>
        <v>1</v>
      </c>
      <c r="D50" s="40">
        <v>4</v>
      </c>
      <c r="E50" s="41">
        <v>2</v>
      </c>
      <c r="F50" s="40">
        <v>2</v>
      </c>
      <c r="G50" s="42">
        <v>2</v>
      </c>
      <c r="H50" s="40">
        <v>29.73</v>
      </c>
      <c r="I50" s="43">
        <f>H50/D50</f>
        <v>7.4325000000000001</v>
      </c>
      <c r="J50" s="44" t="str">
        <v>Yes</v>
      </c>
      <c r="K50" s="44" t="str">
        <v>Yes</v>
      </c>
      <c r="L50" s="44" t="str">
        <v>Yes</v>
      </c>
      <c r="M50" s="45" t="b">
        <f>AND(IF(G50&lt;='2. Housing costs'!$D$28,TRUE,H50/D50 &gt;='Background calculations'!$C$37),J50="Yes",K50="Yes",L50="Yes")</f>
        <v>1</v>
      </c>
      <c r="N50" s="46" t="str">
        <v>Yes</v>
      </c>
      <c r="O50" s="46" t="str">
        <v>Yes</v>
      </c>
      <c r="P50" s="46" t="str">
        <v>Yes</v>
      </c>
      <c r="Q50" s="46" t="str">
        <v>Yes</v>
      </c>
      <c r="R50" s="45" t="b">
        <f t="shared" si="0"/>
        <v>1</v>
      </c>
      <c r="S50" s="22" t="str">
        <v>Yes</v>
      </c>
    </row>
    <row r="51" spans="2:19" x14ac:dyDescent="0.2">
      <c r="B51" s="22" t="s">
        <v>330</v>
      </c>
      <c r="C51" s="22" t="b">
        <f>AND('Background calculations'!M51,'Background calculations'!R51,S51="Yes")</f>
        <v>1</v>
      </c>
      <c r="D51" s="40">
        <v>4</v>
      </c>
      <c r="E51" s="41">
        <v>2</v>
      </c>
      <c r="F51" s="40">
        <v>2</v>
      </c>
      <c r="G51" s="42">
        <v>2</v>
      </c>
      <c r="H51" s="40">
        <v>45.52</v>
      </c>
      <c r="I51" s="43">
        <f t="shared" si="1"/>
        <v>11.38</v>
      </c>
      <c r="J51" s="44" t="str">
        <v>Yes</v>
      </c>
      <c r="K51" s="44" t="str">
        <v>Yes</v>
      </c>
      <c r="L51" s="44" t="str">
        <v>Yes</v>
      </c>
      <c r="M51" s="45" t="b">
        <f>AND(IF(G51&lt;='2. Housing costs'!$D$28,TRUE,H51/D51 &gt;='Background calculations'!$C$37),J51="Yes",K51="Yes",L51="Yes")</f>
        <v>1</v>
      </c>
      <c r="N51" s="46" t="str">
        <v>Yes</v>
      </c>
      <c r="O51" s="46" t="str">
        <v>Yes</v>
      </c>
      <c r="P51" s="46" t="str">
        <v>Yes</v>
      </c>
      <c r="Q51" s="46" t="str">
        <v>Yes</v>
      </c>
      <c r="R51" s="45" t="b">
        <f t="shared" si="0"/>
        <v>1</v>
      </c>
      <c r="S51" s="22" t="str">
        <v>Yes</v>
      </c>
    </row>
    <row r="52" spans="2:19" x14ac:dyDescent="0.2">
      <c r="B52" s="22" t="s">
        <v>331</v>
      </c>
      <c r="C52" s="22" t="b">
        <f>AND('Background calculations'!M52,'Background calculations'!R52,S52="Yes")</f>
        <v>1</v>
      </c>
      <c r="D52" s="40">
        <v>4</v>
      </c>
      <c r="E52" s="41">
        <v>2</v>
      </c>
      <c r="F52" s="40">
        <v>3</v>
      </c>
      <c r="G52" s="42">
        <v>1.3333333333333333</v>
      </c>
      <c r="H52" s="40">
        <v>91.97</v>
      </c>
      <c r="I52" s="43">
        <f t="shared" si="1"/>
        <v>22.9925</v>
      </c>
      <c r="J52" s="44" t="str">
        <v>Yes</v>
      </c>
      <c r="K52" s="44" t="str">
        <v>Yes</v>
      </c>
      <c r="L52" s="44" t="str">
        <v>Yes</v>
      </c>
      <c r="M52" s="45" t="b">
        <f>AND(IF(G52&lt;='2. Housing costs'!$D$28,TRUE,H52/D52 &gt;='Background calculations'!$C$37),J52="Yes",K52="Yes",L52="Yes")</f>
        <v>1</v>
      </c>
      <c r="N52" s="46" t="str">
        <v>Yes</v>
      </c>
      <c r="O52" s="46" t="str">
        <v>Yes</v>
      </c>
      <c r="P52" s="46" t="str">
        <v>Yes</v>
      </c>
      <c r="Q52" s="46" t="str">
        <v>Yes</v>
      </c>
      <c r="R52" s="45" t="b">
        <f t="shared" si="0"/>
        <v>1</v>
      </c>
      <c r="S52" s="22" t="str">
        <v>Yes</v>
      </c>
    </row>
    <row r="53" spans="2:19" x14ac:dyDescent="0.2">
      <c r="B53" s="22" t="s">
        <v>332</v>
      </c>
      <c r="C53" s="22" t="b">
        <f>AND('Background calculations'!M53,'Background calculations'!R53,S53="Yes")</f>
        <v>1</v>
      </c>
      <c r="D53" s="40">
        <v>4</v>
      </c>
      <c r="E53" s="41">
        <v>2</v>
      </c>
      <c r="F53" s="40">
        <v>2</v>
      </c>
      <c r="G53" s="42">
        <v>2</v>
      </c>
      <c r="H53" s="40">
        <v>88.26</v>
      </c>
      <c r="I53" s="43">
        <f t="shared" si="1"/>
        <v>22.065000000000001</v>
      </c>
      <c r="J53" s="44" t="str">
        <v>Yes</v>
      </c>
      <c r="K53" s="44" t="str">
        <v>Yes</v>
      </c>
      <c r="L53" s="44" t="str">
        <v>Yes</v>
      </c>
      <c r="M53" s="45" t="b">
        <f>AND(IF(G53&lt;='2. Housing costs'!$D$28,TRUE,H53/D53 &gt;='Background calculations'!$C$37),J53="Yes",K53="Yes",L53="Yes")</f>
        <v>1</v>
      </c>
      <c r="N53" s="46" t="str">
        <v>Yes</v>
      </c>
      <c r="O53" s="46" t="str">
        <v>Yes</v>
      </c>
      <c r="P53" s="46" t="str">
        <v>Yes</v>
      </c>
      <c r="Q53" s="46" t="str">
        <v>Yes</v>
      </c>
      <c r="R53" s="45" t="b">
        <f t="shared" si="0"/>
        <v>1</v>
      </c>
      <c r="S53" s="22" t="str">
        <v>Yes</v>
      </c>
    </row>
    <row r="54" spans="2:19" x14ac:dyDescent="0.2">
      <c r="B54" s="22" t="s">
        <v>333</v>
      </c>
      <c r="C54" s="22" t="b">
        <f>AND('Background calculations'!M54,'Background calculations'!R54,S54="Yes")</f>
        <v>1</v>
      </c>
      <c r="D54" s="40">
        <v>4</v>
      </c>
      <c r="E54" s="41">
        <v>2</v>
      </c>
      <c r="F54" s="40">
        <v>3</v>
      </c>
      <c r="G54" s="42">
        <v>1.3333333333333333</v>
      </c>
      <c r="H54" s="40">
        <v>55.74</v>
      </c>
      <c r="I54" s="43">
        <f t="shared" si="1"/>
        <v>13.935</v>
      </c>
      <c r="J54" s="44" t="str">
        <v>Yes</v>
      </c>
      <c r="K54" s="44" t="str">
        <v>Yes</v>
      </c>
      <c r="L54" s="44" t="str">
        <v>Yes</v>
      </c>
      <c r="M54" s="45" t="b">
        <f>AND(IF(G54&lt;='2. Housing costs'!$D$28,TRUE,H54/D54 &gt;='Background calculations'!$C$37),J54="Yes",K54="Yes",L54="Yes")</f>
        <v>1</v>
      </c>
      <c r="N54" s="46" t="str">
        <v>Yes</v>
      </c>
      <c r="O54" s="46" t="str">
        <v>Yes</v>
      </c>
      <c r="P54" s="46" t="str">
        <v>Yes</v>
      </c>
      <c r="Q54" s="46" t="str">
        <v>Yes</v>
      </c>
      <c r="R54" s="45" t="b">
        <f t="shared" si="0"/>
        <v>1</v>
      </c>
      <c r="S54" s="22" t="str">
        <v>Yes</v>
      </c>
    </row>
    <row r="55" spans="2:19" x14ac:dyDescent="0.2">
      <c r="B55" s="22" t="s">
        <v>334</v>
      </c>
      <c r="C55" s="22" t="b">
        <f>AND('Background calculations'!M55,'Background calculations'!R55,S55="Yes")</f>
        <v>1</v>
      </c>
      <c r="D55" s="40">
        <v>4</v>
      </c>
      <c r="E55" s="41">
        <v>2</v>
      </c>
      <c r="F55" s="40">
        <v>3</v>
      </c>
      <c r="G55" s="42">
        <v>1.3333333333333333</v>
      </c>
      <c r="H55" s="40">
        <v>74.319999999999993</v>
      </c>
      <c r="I55" s="43">
        <f t="shared" si="1"/>
        <v>18.579999999999998</v>
      </c>
      <c r="J55" s="44" t="str">
        <v>Yes</v>
      </c>
      <c r="K55" s="44" t="str">
        <v>Yes</v>
      </c>
      <c r="L55" s="44" t="str">
        <v>Yes</v>
      </c>
      <c r="M55" s="45" t="b">
        <f>AND(IF(G55&lt;='2. Housing costs'!$D$28,TRUE,H55/D55 &gt;='Background calculations'!$C$37),J55="Yes",K55="Yes",L55="Yes")</f>
        <v>1</v>
      </c>
      <c r="N55" s="46" t="str">
        <v>Yes</v>
      </c>
      <c r="O55" s="46" t="str">
        <v>Yes</v>
      </c>
      <c r="P55" s="46" t="str">
        <v>Yes</v>
      </c>
      <c r="Q55" s="46" t="str">
        <v>Yes</v>
      </c>
      <c r="R55" s="45" t="b">
        <f t="shared" si="0"/>
        <v>1</v>
      </c>
      <c r="S55" s="22" t="str">
        <v>Yes</v>
      </c>
    </row>
    <row r="56" spans="2:19" x14ac:dyDescent="0.2">
      <c r="B56" s="22" t="s">
        <v>335</v>
      </c>
      <c r="C56" s="22" t="b">
        <f>AND('Background calculations'!M56,'Background calculations'!R56,S56="Yes")</f>
        <v>1</v>
      </c>
      <c r="D56" s="40">
        <v>4</v>
      </c>
      <c r="E56" s="41">
        <v>2</v>
      </c>
      <c r="F56" s="40">
        <v>3</v>
      </c>
      <c r="G56" s="42">
        <v>1.3333333333333333</v>
      </c>
      <c r="H56" s="40">
        <v>27.87</v>
      </c>
      <c r="I56" s="43">
        <f t="shared" si="1"/>
        <v>6.9675000000000002</v>
      </c>
      <c r="J56" s="44" t="str">
        <v>Yes</v>
      </c>
      <c r="K56" s="44" t="str">
        <v>Yes</v>
      </c>
      <c r="L56" s="44" t="str">
        <v>Yes</v>
      </c>
      <c r="M56" s="45" t="b">
        <f>AND(IF(G56&lt;='2. Housing costs'!$D$28,TRUE,H56/D56 &gt;='Background calculations'!$C$37),J56="Yes",K56="Yes",L56="Yes")</f>
        <v>1</v>
      </c>
      <c r="N56" s="46" t="str">
        <v>Yes</v>
      </c>
      <c r="O56" s="46" t="str">
        <v>Yes</v>
      </c>
      <c r="P56" s="46" t="str">
        <v>Yes</v>
      </c>
      <c r="Q56" s="46" t="str">
        <v>Yes</v>
      </c>
      <c r="R56" s="45" t="b">
        <f t="shared" si="0"/>
        <v>1</v>
      </c>
      <c r="S56" s="22" t="str">
        <v>Yes</v>
      </c>
    </row>
    <row r="57" spans="2:19" x14ac:dyDescent="0.2">
      <c r="B57" s="22" t="s">
        <v>336</v>
      </c>
      <c r="C57" s="22" t="b">
        <f>AND('Background calculations'!M57,'Background calculations'!R57,S57="Yes")</f>
        <v>1</v>
      </c>
      <c r="D57" s="40">
        <v>4</v>
      </c>
      <c r="E57" s="41">
        <v>2</v>
      </c>
      <c r="F57" s="40">
        <v>2</v>
      </c>
      <c r="G57" s="42">
        <v>2</v>
      </c>
      <c r="H57" s="40">
        <v>67.16</v>
      </c>
      <c r="I57" s="43">
        <f t="shared" si="1"/>
        <v>16.79</v>
      </c>
      <c r="J57" s="44" t="str">
        <v>Yes</v>
      </c>
      <c r="K57" s="44" t="str">
        <v>Yes</v>
      </c>
      <c r="L57" s="44" t="str">
        <v>Yes</v>
      </c>
      <c r="M57" s="45" t="b">
        <f>AND(IF(G57&lt;='2. Housing costs'!$D$28,TRUE,H57/D57 &gt;='Background calculations'!$C$37),J57="Yes",K57="Yes",L57="Yes")</f>
        <v>1</v>
      </c>
      <c r="N57" s="46" t="str">
        <v>Yes</v>
      </c>
      <c r="O57" s="46" t="str">
        <v>Yes</v>
      </c>
      <c r="P57" s="46" t="str">
        <v>Yes</v>
      </c>
      <c r="Q57" s="46" t="str">
        <v>Yes</v>
      </c>
      <c r="R57" s="45" t="b">
        <f t="shared" si="0"/>
        <v>1</v>
      </c>
      <c r="S57" s="22" t="str">
        <v>Yes</v>
      </c>
    </row>
    <row r="60" spans="2:19" ht="20.5" customHeight="1" x14ac:dyDescent="0.2">
      <c r="B60" s="28" t="s">
        <v>350</v>
      </c>
      <c r="C60" s="28"/>
      <c r="D60" s="28"/>
      <c r="E60" s="28"/>
      <c r="F60" s="28"/>
      <c r="G60" s="28"/>
      <c r="H60" s="28"/>
      <c r="I60" s="28"/>
      <c r="J60" s="28"/>
      <c r="K60" s="28"/>
      <c r="L60" s="28"/>
      <c r="M60" s="28"/>
      <c r="N60" s="28"/>
      <c r="O60" s="28"/>
      <c r="P60" s="28"/>
      <c r="Q60" s="28"/>
      <c r="R60" s="28"/>
      <c r="S60" s="28"/>
    </row>
    <row r="61" spans="2:19" ht="16" thickBot="1" x14ac:dyDescent="0.25"/>
    <row r="62" spans="2:19" ht="33.75" customHeight="1" thickBot="1" x14ac:dyDescent="0.25">
      <c r="B62" s="47" t="s">
        <v>451</v>
      </c>
      <c r="C62" s="48">
        <f>SUM('CLS - Input data'!D26:D29)</f>
        <v>90000</v>
      </c>
      <c r="D62" s="48">
        <f>SUM('CLS - Input data'!E26:E29)</f>
        <v>140500</v>
      </c>
      <c r="E62" s="48">
        <f>SUM('CLS - Input data'!F26:F29)</f>
        <v>151000</v>
      </c>
      <c r="F62" s="48">
        <f>SUM('CLS - Input data'!G26:G29)</f>
        <v>111500</v>
      </c>
      <c r="G62" s="48">
        <f>SUM('CLS - Input data'!H26:H29)</f>
        <v>119000</v>
      </c>
      <c r="H62" s="48">
        <f>SUM('CLS - Input data'!I26:I29)</f>
        <v>150990</v>
      </c>
      <c r="I62" s="48">
        <f>SUM('CLS - Input data'!J26:J29)</f>
        <v>86500</v>
      </c>
      <c r="J62" s="48">
        <f>SUM('CLS - Input data'!K26:K29)</f>
        <v>118000</v>
      </c>
      <c r="K62" s="48">
        <f>SUM('CLS - Input data'!L26:L29)</f>
        <v>162010</v>
      </c>
      <c r="L62" s="48">
        <f>SUM('CLS - Input data'!M26:M29)</f>
        <v>171500</v>
      </c>
      <c r="M62" s="48">
        <f>SUM('CLS - Input data'!N26:N29)</f>
        <v>128167</v>
      </c>
      <c r="N62" s="48">
        <f>SUM('CLS - Input data'!O26:O29)</f>
        <v>255000</v>
      </c>
      <c r="O62" s="48">
        <f>SUM('CLS - Input data'!P26:P29)</f>
        <v>80600</v>
      </c>
      <c r="P62" s="48">
        <f>SUM('CLS - Input data'!Q26:Q29)</f>
        <v>93000</v>
      </c>
      <c r="Q62" s="49">
        <f>SUM('CLS - Input data'!R26:R29)</f>
        <v>111680</v>
      </c>
    </row>
    <row r="64" spans="2:19" x14ac:dyDescent="0.2">
      <c r="B64" s="22" t="s">
        <v>373</v>
      </c>
      <c r="C64" s="50">
        <v>1</v>
      </c>
      <c r="D64" s="50">
        <v>2</v>
      </c>
      <c r="E64" s="50">
        <v>3</v>
      </c>
      <c r="F64" s="50">
        <v>4</v>
      </c>
      <c r="G64" s="50">
        <v>5</v>
      </c>
      <c r="H64" s="50">
        <v>6</v>
      </c>
      <c r="I64" s="50">
        <v>7</v>
      </c>
      <c r="J64" s="50">
        <v>8</v>
      </c>
      <c r="K64" s="50">
        <v>9</v>
      </c>
      <c r="L64" s="50">
        <v>10</v>
      </c>
      <c r="M64" s="50">
        <v>11</v>
      </c>
      <c r="N64" s="50">
        <v>12</v>
      </c>
      <c r="O64" s="50">
        <v>13</v>
      </c>
      <c r="P64" s="50">
        <v>14</v>
      </c>
      <c r="Q64" s="50">
        <v>15</v>
      </c>
    </row>
    <row r="65" spans="2:17" x14ac:dyDescent="0.2">
      <c r="B65" s="22" t="s">
        <v>132</v>
      </c>
      <c r="C65" s="51">
        <f>'CLS - Input data'!D18/'CLS - Input data'!D23</f>
        <v>1.3333333333333333</v>
      </c>
      <c r="D65" s="51">
        <f>'CLS - Input data'!E18/'CLS - Input data'!E23</f>
        <v>2</v>
      </c>
      <c r="E65" s="51">
        <f>'CLS - Input data'!F18/'CLS - Input data'!F23</f>
        <v>1.3333333333333333</v>
      </c>
      <c r="F65" s="51">
        <f>'CLS - Input data'!G18/'CLS - Input data'!G23</f>
        <v>1.3333333333333333</v>
      </c>
      <c r="G65" s="51">
        <f>'CLS - Input data'!H18/'CLS - Input data'!H23</f>
        <v>2</v>
      </c>
      <c r="H65" s="51">
        <f>'CLS - Input data'!I18/'CLS - Input data'!I23</f>
        <v>1.3333333333333333</v>
      </c>
      <c r="I65" s="51">
        <f>'CLS - Input data'!J18/'CLS - Input data'!J23</f>
        <v>1.3333333333333333</v>
      </c>
      <c r="J65" s="51">
        <f>'CLS - Input data'!K18/'CLS - Input data'!K23</f>
        <v>2</v>
      </c>
      <c r="K65" s="51">
        <f>'CLS - Input data'!L18/'CLS - Input data'!L23</f>
        <v>2</v>
      </c>
      <c r="L65" s="51">
        <f>'CLS - Input data'!M18/'CLS - Input data'!M23</f>
        <v>1.3333333333333333</v>
      </c>
      <c r="M65" s="51">
        <f>'CLS - Input data'!N18/'CLS - Input data'!N23</f>
        <v>2</v>
      </c>
      <c r="N65" s="51">
        <f>'CLS - Input data'!O18/'CLS - Input data'!O23</f>
        <v>1.3333333333333333</v>
      </c>
      <c r="O65" s="51">
        <f>'CLS - Input data'!P18/'CLS - Input data'!P23</f>
        <v>1.3333333333333333</v>
      </c>
      <c r="P65" s="51">
        <f>'CLS - Input data'!Q18/'CLS - Input data'!Q23</f>
        <v>1.3333333333333333</v>
      </c>
      <c r="Q65" s="51">
        <f>'CLS - Input data'!R18/'CLS - Input data'!R23</f>
        <v>2</v>
      </c>
    </row>
    <row r="66" spans="2:17" x14ac:dyDescent="0.2">
      <c r="P66" s="116"/>
    </row>
    <row r="67" spans="2:17" ht="46.5" customHeight="1" x14ac:dyDescent="0.2">
      <c r="B67" s="37" t="s">
        <v>122</v>
      </c>
      <c r="C67" s="38" t="s">
        <v>380</v>
      </c>
      <c r="D67" s="38" t="s">
        <v>256</v>
      </c>
      <c r="E67" s="38" t="s">
        <v>257</v>
      </c>
      <c r="F67" s="38" t="s">
        <v>258</v>
      </c>
      <c r="G67" s="38" t="s">
        <v>259</v>
      </c>
      <c r="H67" s="38" t="s">
        <v>626</v>
      </c>
      <c r="I67" s="38" t="s">
        <v>233</v>
      </c>
      <c r="J67" s="38" t="s">
        <v>233</v>
      </c>
      <c r="K67" s="38" t="s">
        <v>235</v>
      </c>
      <c r="P67" s="116"/>
    </row>
    <row r="68" spans="2:17" x14ac:dyDescent="0.2">
      <c r="B68" s="22" t="s">
        <v>322</v>
      </c>
      <c r="C68" s="52" cm="1">
        <f t="array" ref="C68:C82">TRANSPOSE('Background calculations'!C62:Q62)</f>
        <v>90000</v>
      </c>
      <c r="D68" s="52" cm="1">
        <f t="array" ref="D68:D82">TRANSPOSE('CLS - Input data'!D26:R26)</f>
        <v>60000</v>
      </c>
      <c r="E68" s="52" cm="1">
        <f t="array" ref="E68:E82">TRANSPOSE('CLS - Input data'!D27:R27)</f>
        <v>0</v>
      </c>
      <c r="F68" s="52" cm="1">
        <f t="array" ref="F68:F82">TRANSPOSE('CLS - Input data'!D28:R28)</f>
        <v>0</v>
      </c>
      <c r="G68" s="52" cm="1">
        <f t="array" ref="G68:G82">TRANSPOSE('CLS - Input data'!D29:R29)</f>
        <v>30000</v>
      </c>
      <c r="H68" s="52">
        <f>C68/'Background calculations'!D43</f>
        <v>22500</v>
      </c>
      <c r="I68" s="52">
        <f>C68/'Background calculations'!F43</f>
        <v>30000</v>
      </c>
      <c r="J68" s="52">
        <f>IF('Background calculations'!C43=TRUE, I68,"")</f>
        <v>30000</v>
      </c>
      <c r="K68" s="52">
        <f>C68/'Background calculations'!H43</f>
        <v>3588.5167464114834</v>
      </c>
      <c r="M68" s="125"/>
      <c r="N68" s="125"/>
      <c r="P68" s="116"/>
    </row>
    <row r="69" spans="2:17" x14ac:dyDescent="0.2">
      <c r="B69" s="22" t="s">
        <v>323</v>
      </c>
      <c r="C69" s="52">
        <v>140500</v>
      </c>
      <c r="D69" s="52">
        <v>60000</v>
      </c>
      <c r="E69" s="52">
        <v>10500</v>
      </c>
      <c r="F69" s="52">
        <v>10000</v>
      </c>
      <c r="G69" s="52">
        <v>60000</v>
      </c>
      <c r="H69" s="52">
        <f>C69/'Background calculations'!D44</f>
        <v>35125</v>
      </c>
      <c r="I69" s="52">
        <f>C69/'Background calculations'!F44</f>
        <v>70250</v>
      </c>
      <c r="J69" s="52">
        <f>IF('Background calculations'!C44=TRUE, I69,"")</f>
        <v>70250</v>
      </c>
      <c r="K69" s="52">
        <f>C69/'Background calculations'!H44</f>
        <v>3490.6832298136646</v>
      </c>
      <c r="M69" s="125"/>
      <c r="N69" s="125"/>
      <c r="P69" s="116"/>
    </row>
    <row r="70" spans="2:17" x14ac:dyDescent="0.2">
      <c r="B70" s="22" t="s">
        <v>324</v>
      </c>
      <c r="C70" s="52">
        <v>151000</v>
      </c>
      <c r="D70" s="52">
        <v>70000</v>
      </c>
      <c r="E70" s="52">
        <v>9000</v>
      </c>
      <c r="F70" s="52">
        <v>12000</v>
      </c>
      <c r="G70" s="52">
        <v>60000</v>
      </c>
      <c r="H70" s="52">
        <f>C70/'Background calculations'!D45</f>
        <v>37750</v>
      </c>
      <c r="I70" s="52">
        <f>C70/'Background calculations'!F45</f>
        <v>50333.333333333336</v>
      </c>
      <c r="J70" s="52">
        <f>IF('Background calculations'!C45=TRUE, I70,"")</f>
        <v>50333.333333333336</v>
      </c>
      <c r="K70" s="52">
        <f>C70/'Background calculations'!H45</f>
        <v>3386.4095088584882</v>
      </c>
      <c r="M70" s="125"/>
      <c r="N70" s="125"/>
      <c r="P70" s="116"/>
    </row>
    <row r="71" spans="2:17" x14ac:dyDescent="0.2">
      <c r="B71" s="22" t="s">
        <v>325</v>
      </c>
      <c r="C71" s="52">
        <v>111500</v>
      </c>
      <c r="D71" s="52">
        <v>50000</v>
      </c>
      <c r="E71" s="52">
        <v>1500</v>
      </c>
      <c r="F71" s="52">
        <v>0</v>
      </c>
      <c r="G71" s="52">
        <v>60000</v>
      </c>
      <c r="H71" s="52">
        <f>C71/'Background calculations'!D46</f>
        <v>27875</v>
      </c>
      <c r="I71" s="52">
        <f>C71/'Background calculations'!F46</f>
        <v>37166.666666666664</v>
      </c>
      <c r="J71" s="52">
        <f>IF('Background calculations'!C46=TRUE, I71,"")</f>
        <v>37166.666666666664</v>
      </c>
      <c r="K71" s="52">
        <f>C71/'Background calculations'!H46</f>
        <v>1666.9158319629241</v>
      </c>
      <c r="M71" s="125"/>
      <c r="N71" s="125"/>
      <c r="P71" s="116"/>
    </row>
    <row r="72" spans="2:17" x14ac:dyDescent="0.2">
      <c r="B72" s="22" t="s">
        <v>326</v>
      </c>
      <c r="C72" s="52">
        <v>119000</v>
      </c>
      <c r="D72" s="52">
        <v>50000</v>
      </c>
      <c r="E72" s="52">
        <v>9000</v>
      </c>
      <c r="F72" s="52">
        <v>0</v>
      </c>
      <c r="G72" s="52">
        <v>60000</v>
      </c>
      <c r="H72" s="52">
        <f>C72/'Background calculations'!D47</f>
        <v>29750</v>
      </c>
      <c r="I72" s="52">
        <f>C72/'Background calculations'!F47</f>
        <v>59500</v>
      </c>
      <c r="J72" s="52">
        <f>IF('Background calculations'!C47=TRUE, I72,"")</f>
        <v>59500</v>
      </c>
      <c r="K72" s="52">
        <f>C72/'Background calculations'!H47</f>
        <v>1481.9427148194272</v>
      </c>
      <c r="M72" s="125"/>
      <c r="N72" s="125"/>
      <c r="P72" s="116"/>
    </row>
    <row r="73" spans="2:17" x14ac:dyDescent="0.2">
      <c r="B73" s="22" t="s">
        <v>327</v>
      </c>
      <c r="C73" s="52">
        <v>150990</v>
      </c>
      <c r="D73" s="52">
        <v>30000</v>
      </c>
      <c r="E73" s="52">
        <v>990</v>
      </c>
      <c r="F73" s="52">
        <v>0</v>
      </c>
      <c r="G73" s="52">
        <v>120000</v>
      </c>
      <c r="H73" s="52">
        <f>C73/'Background calculations'!D48</f>
        <v>37747.5</v>
      </c>
      <c r="I73" s="52">
        <f>C73/'Background calculations'!F48</f>
        <v>50330</v>
      </c>
      <c r="J73" s="52">
        <f>IF('Background calculations'!C48=TRUE, I73,"")</f>
        <v>50330</v>
      </c>
      <c r="K73" s="52">
        <f>C73/'Background calculations'!H48</f>
        <v>2257.2880849155331</v>
      </c>
      <c r="M73" s="125"/>
      <c r="N73" s="125"/>
      <c r="P73" s="116"/>
    </row>
    <row r="74" spans="2:17" x14ac:dyDescent="0.2">
      <c r="B74" s="22" t="s">
        <v>328</v>
      </c>
      <c r="C74" s="52">
        <v>86500</v>
      </c>
      <c r="D74" s="52">
        <v>25000</v>
      </c>
      <c r="E74" s="52">
        <v>1500</v>
      </c>
      <c r="F74" s="52">
        <v>0</v>
      </c>
      <c r="G74" s="52">
        <v>60000</v>
      </c>
      <c r="H74" s="52">
        <f>C74/'Background calculations'!D49</f>
        <v>21625</v>
      </c>
      <c r="I74" s="52">
        <f>C74/'Background calculations'!F49</f>
        <v>28833.333333333332</v>
      </c>
      <c r="J74" s="52">
        <f>IF('Background calculations'!C49=TRUE, I74,"")</f>
        <v>28833.333333333332</v>
      </c>
      <c r="K74" s="52">
        <f>C74/'Background calculations'!H49</f>
        <v>1724.825523429711</v>
      </c>
      <c r="M74" s="125"/>
      <c r="N74" s="125"/>
      <c r="P74" s="116"/>
    </row>
    <row r="75" spans="2:17" x14ac:dyDescent="0.2">
      <c r="B75" s="22" t="s">
        <v>329</v>
      </c>
      <c r="C75" s="52">
        <v>118000</v>
      </c>
      <c r="D75" s="52">
        <v>40000</v>
      </c>
      <c r="E75" s="52">
        <v>18000</v>
      </c>
      <c r="F75" s="52">
        <v>0</v>
      </c>
      <c r="G75" s="52">
        <v>60000</v>
      </c>
      <c r="H75" s="52">
        <f>C75/'Background calculations'!D50</f>
        <v>29500</v>
      </c>
      <c r="I75" s="52">
        <f>C75/'Background calculations'!F50</f>
        <v>59000</v>
      </c>
      <c r="J75" s="52">
        <f>IF('Background calculations'!C50=TRUE, I75,"")</f>
        <v>59000</v>
      </c>
      <c r="K75" s="52">
        <f>C75/'Background calculations'!H50</f>
        <v>3969.054826774302</v>
      </c>
      <c r="M75" s="125"/>
      <c r="N75" s="125"/>
      <c r="P75" s="116"/>
    </row>
    <row r="76" spans="2:17" x14ac:dyDescent="0.2">
      <c r="B76" s="22" t="s">
        <v>330</v>
      </c>
      <c r="C76" s="52">
        <v>162010</v>
      </c>
      <c r="D76" s="52">
        <v>40000</v>
      </c>
      <c r="E76" s="52">
        <v>2010</v>
      </c>
      <c r="F76" s="52">
        <v>0</v>
      </c>
      <c r="G76" s="52">
        <v>120000</v>
      </c>
      <c r="H76" s="52">
        <f>C76/'Background calculations'!D51</f>
        <v>40502.5</v>
      </c>
      <c r="I76" s="52">
        <f>C76/'Background calculations'!F51</f>
        <v>81005</v>
      </c>
      <c r="J76" s="52">
        <f>IF('Background calculations'!C51=TRUE, I76,"")</f>
        <v>81005</v>
      </c>
      <c r="K76" s="52">
        <f>C76/'Background calculations'!H51</f>
        <v>3559.0949033391912</v>
      </c>
      <c r="M76" s="125"/>
      <c r="N76" s="125"/>
      <c r="P76" s="116"/>
    </row>
    <row r="77" spans="2:17" x14ac:dyDescent="0.2">
      <c r="B77" s="22" t="s">
        <v>331</v>
      </c>
      <c r="C77" s="52">
        <v>171500</v>
      </c>
      <c r="D77" s="52">
        <v>100000</v>
      </c>
      <c r="E77" s="52">
        <v>1500</v>
      </c>
      <c r="F77" s="52">
        <v>0</v>
      </c>
      <c r="G77" s="52">
        <v>70000</v>
      </c>
      <c r="H77" s="52">
        <f>C77/'Background calculations'!D52</f>
        <v>42875</v>
      </c>
      <c r="I77" s="52">
        <f>C77/'Background calculations'!F52</f>
        <v>57166.666666666664</v>
      </c>
      <c r="J77" s="52">
        <f>IF('Background calculations'!C52=TRUE, I77,"")</f>
        <v>57166.666666666664</v>
      </c>
      <c r="K77" s="52">
        <f>C77/'Background calculations'!H52</f>
        <v>1864.7385016853323</v>
      </c>
      <c r="M77" s="125"/>
      <c r="N77" s="125"/>
      <c r="P77" s="116"/>
    </row>
    <row r="78" spans="2:17" x14ac:dyDescent="0.2">
      <c r="B78" s="22" t="s">
        <v>332</v>
      </c>
      <c r="C78" s="52">
        <v>128167</v>
      </c>
      <c r="D78" s="52">
        <v>40000</v>
      </c>
      <c r="E78" s="52">
        <v>1500</v>
      </c>
      <c r="F78" s="52">
        <v>26667</v>
      </c>
      <c r="G78" s="52">
        <v>60000</v>
      </c>
      <c r="H78" s="52">
        <f>C78/'Background calculations'!D53</f>
        <v>32041.75</v>
      </c>
      <c r="I78" s="52">
        <f>C78/'Background calculations'!F53</f>
        <v>64083.5</v>
      </c>
      <c r="J78" s="52">
        <f>IF('Background calculations'!C53=TRUE, I78,"")</f>
        <v>64083.5</v>
      </c>
      <c r="K78" s="52">
        <f>C78/'Background calculations'!H53</f>
        <v>1452.1527305687739</v>
      </c>
      <c r="M78" s="125"/>
      <c r="N78" s="125"/>
      <c r="P78" s="116"/>
    </row>
    <row r="79" spans="2:17" x14ac:dyDescent="0.2">
      <c r="B79" s="22" t="s">
        <v>333</v>
      </c>
      <c r="C79" s="52">
        <v>255000</v>
      </c>
      <c r="D79" s="52">
        <v>150000</v>
      </c>
      <c r="E79" s="52">
        <v>45000</v>
      </c>
      <c r="F79" s="52">
        <v>0</v>
      </c>
      <c r="G79" s="52">
        <v>60000</v>
      </c>
      <c r="H79" s="52">
        <f>C79/'Background calculations'!D54</f>
        <v>63750</v>
      </c>
      <c r="I79" s="52">
        <f>C79/'Background calculations'!F54</f>
        <v>85000</v>
      </c>
      <c r="J79" s="52">
        <f>IF('Background calculations'!C54=TRUE, I79,"")</f>
        <v>85000</v>
      </c>
      <c r="K79" s="52">
        <f>C79/'Background calculations'!H54</f>
        <v>4574.8116254036595</v>
      </c>
      <c r="M79" s="125"/>
      <c r="N79" s="125"/>
      <c r="P79" s="116"/>
    </row>
    <row r="80" spans="2:17" x14ac:dyDescent="0.2">
      <c r="B80" s="22" t="s">
        <v>334</v>
      </c>
      <c r="C80" s="52">
        <v>80600</v>
      </c>
      <c r="D80" s="52">
        <v>20000</v>
      </c>
      <c r="E80" s="52">
        <v>600</v>
      </c>
      <c r="F80" s="52">
        <v>0</v>
      </c>
      <c r="G80" s="52">
        <v>60000</v>
      </c>
      <c r="H80" s="52">
        <f>C80/'Background calculations'!D55</f>
        <v>20150</v>
      </c>
      <c r="I80" s="52">
        <f>C80/'Background calculations'!F55</f>
        <v>26866.666666666668</v>
      </c>
      <c r="J80" s="52">
        <f>IF('Background calculations'!C55=TRUE, I80,"")</f>
        <v>26866.666666666668</v>
      </c>
      <c r="K80" s="52">
        <f>C80/'Background calculations'!H55</f>
        <v>1084.4994617868676</v>
      </c>
      <c r="M80" s="125"/>
      <c r="N80" s="125"/>
      <c r="P80" s="116"/>
    </row>
    <row r="81" spans="2:19" x14ac:dyDescent="0.2">
      <c r="B81" s="22" t="s">
        <v>335</v>
      </c>
      <c r="C81" s="52">
        <v>93000</v>
      </c>
      <c r="D81" s="52">
        <v>30000</v>
      </c>
      <c r="E81" s="52">
        <v>3000</v>
      </c>
      <c r="F81" s="52">
        <v>0</v>
      </c>
      <c r="G81" s="52">
        <v>60000</v>
      </c>
      <c r="H81" s="52">
        <f>C81/'Background calculations'!D56</f>
        <v>23250</v>
      </c>
      <c r="I81" s="52">
        <f>C81/'Background calculations'!F56</f>
        <v>31000</v>
      </c>
      <c r="J81" s="52">
        <f>IF('Background calculations'!C56=TRUE, I81,"")</f>
        <v>31000</v>
      </c>
      <c r="K81" s="52">
        <f>C81/'Background calculations'!H56</f>
        <v>3336.9214208826693</v>
      </c>
      <c r="M81" s="125"/>
      <c r="N81" s="125"/>
      <c r="P81" s="116"/>
    </row>
    <row r="82" spans="2:19" x14ac:dyDescent="0.2">
      <c r="B82" s="22" t="s">
        <v>336</v>
      </c>
      <c r="C82" s="46">
        <v>111680</v>
      </c>
      <c r="D82" s="46">
        <v>50000</v>
      </c>
      <c r="E82" s="46">
        <v>1680</v>
      </c>
      <c r="F82" s="374">
        <v>0</v>
      </c>
      <c r="G82" s="46">
        <v>60000</v>
      </c>
      <c r="H82" s="52">
        <f>C82/'Background calculations'!D57</f>
        <v>27920</v>
      </c>
      <c r="I82" s="52">
        <f>C82/'Background calculations'!F57</f>
        <v>55840</v>
      </c>
      <c r="J82" s="52">
        <f>IF('Background calculations'!C57=TRUE, I82,"")</f>
        <v>55840</v>
      </c>
      <c r="K82" s="52">
        <f>C82/'Background calculations'!H57</f>
        <v>1662.8945801072068</v>
      </c>
      <c r="M82" s="125"/>
      <c r="N82" s="125"/>
      <c r="P82" s="116"/>
    </row>
    <row r="83" spans="2:19" x14ac:dyDescent="0.2">
      <c r="C83" s="53"/>
      <c r="D83" s="53"/>
      <c r="E83" s="53"/>
      <c r="F83" s="53"/>
      <c r="G83" s="53"/>
      <c r="H83" s="53"/>
      <c r="I83" s="53"/>
      <c r="J83" s="53"/>
      <c r="K83" s="53"/>
    </row>
    <row r="84" spans="2:19" ht="16" x14ac:dyDescent="0.2">
      <c r="B84" s="54" t="s">
        <v>352</v>
      </c>
      <c r="C84" s="55">
        <f>AVERAGEIFS(C68:C82,$C$43:$C$57,TRUE,C68:C82,"&gt;"&amp;0)</f>
        <v>131296.46666666667</v>
      </c>
      <c r="D84" s="55">
        <f>AVERAGEIFS('Background calculations'!D68:D82,'Background calculations'!$C$43:$C$57,TRUE,'Background calculations'!D68:D82,"&gt;"&amp;0)</f>
        <v>54333.333333333336</v>
      </c>
      <c r="E84" s="55">
        <f>AVERAGEIFS('Background calculations'!E68:E82,'Background calculations'!$C$43:$C$57,TRUE,'Background calculations'!E68:E82,"&gt;"&amp;0)</f>
        <v>7555.7142857142853</v>
      </c>
      <c r="F84" s="55">
        <f>AVERAGEIFS('Background calculations'!F68:F82,'Background calculations'!$C$43:$C$57,TRUE,'Background calculations'!F68:F82,"&gt;"&amp;0)</f>
        <v>16222.333333333334</v>
      </c>
      <c r="G84" s="55">
        <f>AVERAGEIFS('Background calculations'!G68:G82,'Background calculations'!$C$43:$C$57,TRUE,'Background calculations'!G68:G82,"&gt;"&amp;0)</f>
        <v>66666.666666666672</v>
      </c>
      <c r="H84" s="55">
        <f>AVERAGEIFS('Background calculations'!H68:H82,'Background calculations'!$C$43:$C$57,TRUE,'Background calculations'!H68:H82,"&gt;"&amp;0)</f>
        <v>32824.116666666669</v>
      </c>
      <c r="I84" s="55">
        <f>AVERAGEIFS('Background calculations'!I68:I82,'Background calculations'!$C$43:$C$57,TRUE,'Background calculations'!I68:I82,"&gt;"&amp;0)</f>
        <v>52425.011111111111</v>
      </c>
      <c r="J84" s="55">
        <f>_xlfn.QUARTILE.EXC('Background calculations'!J68:J79,1)</f>
        <v>40457.5</v>
      </c>
      <c r="K84" s="55">
        <f>AVERAGEIFS('Background calculations'!K68:K82,'Background calculations'!$C$43:$C$57,TRUE,'Background calculations'!K68:K82,"&gt;"&amp;0)</f>
        <v>2606.7166460506151</v>
      </c>
      <c r="M84" s="125"/>
      <c r="N84" s="125"/>
      <c r="O84" s="329"/>
      <c r="P84" s="116"/>
      <c r="Q84" s="116"/>
      <c r="R84" s="329"/>
    </row>
    <row r="86" spans="2:19" ht="15.75" customHeight="1" x14ac:dyDescent="0.2"/>
    <row r="87" spans="2:19" ht="18.75" customHeight="1" x14ac:dyDescent="0.2">
      <c r="B87" s="28" t="s">
        <v>351</v>
      </c>
      <c r="C87" s="28"/>
      <c r="D87" s="28"/>
      <c r="E87" s="28"/>
      <c r="F87" s="28"/>
      <c r="G87" s="28"/>
      <c r="H87" s="28"/>
      <c r="I87" s="28"/>
      <c r="J87" s="28"/>
      <c r="K87" s="28"/>
      <c r="L87" s="28"/>
      <c r="M87" s="28"/>
      <c r="N87" s="28"/>
      <c r="O87" s="28"/>
      <c r="P87" s="28"/>
      <c r="Q87" s="28"/>
      <c r="R87" s="28"/>
      <c r="S87" s="28"/>
    </row>
    <row r="88" spans="2:19" ht="15.75" customHeight="1" x14ac:dyDescent="0.2"/>
    <row r="89" spans="2:19" ht="15.75" customHeight="1" x14ac:dyDescent="0.2">
      <c r="B89" s="22" t="s">
        <v>260</v>
      </c>
      <c r="C89" s="56">
        <f>'Background calculations'!D84/SUM('Background calculations'!$D$84:$G$84)</f>
        <v>0.37528709791901493</v>
      </c>
    </row>
    <row r="90" spans="2:19" ht="15.75" customHeight="1" x14ac:dyDescent="0.2">
      <c r="B90" s="22" t="s">
        <v>49</v>
      </c>
      <c r="C90" s="56">
        <f>'Background calculations'!F84/SUM('Background calculations'!$D$84:$G$84)</f>
        <v>0.11204967603941533</v>
      </c>
    </row>
    <row r="91" spans="2:19" ht="15.75" customHeight="1" x14ac:dyDescent="0.2">
      <c r="B91" s="22" t="s">
        <v>50</v>
      </c>
      <c r="C91" s="56">
        <f>'Background calculations'!E84/SUM('Background calculations'!$D$84:$G$84)</f>
        <v>5.2188259269772212E-2</v>
      </c>
    </row>
    <row r="92" spans="2:19" ht="15.75" customHeight="1" x14ac:dyDescent="0.2">
      <c r="B92" s="22" t="s">
        <v>261</v>
      </c>
      <c r="C92" s="56">
        <f>'Background calculations'!G84/SUM('Background calculations'!$D$84:$G$84)</f>
        <v>0.4604749667717975</v>
      </c>
    </row>
    <row r="96" spans="2:19" s="25" customFormat="1" ht="21.75" customHeight="1" x14ac:dyDescent="0.25">
      <c r="B96" s="24" t="s">
        <v>339</v>
      </c>
    </row>
    <row r="98" spans="2:22" x14ac:dyDescent="0.2">
      <c r="B98" s="28" t="s">
        <v>342</v>
      </c>
      <c r="C98" s="28"/>
      <c r="D98" s="28"/>
      <c r="E98" s="28"/>
      <c r="F98" s="28"/>
      <c r="G98" s="28"/>
      <c r="H98" s="28"/>
      <c r="I98" s="28"/>
      <c r="J98" s="28"/>
      <c r="K98" s="28"/>
      <c r="L98" s="28"/>
      <c r="M98" s="28"/>
      <c r="N98" s="28"/>
      <c r="O98" s="28"/>
      <c r="P98" s="28"/>
      <c r="Q98" s="28"/>
      <c r="R98" s="28"/>
      <c r="S98" s="28"/>
      <c r="T98" s="28"/>
      <c r="U98" s="28"/>
      <c r="V98" s="28"/>
    </row>
    <row r="100" spans="2:22" ht="16" x14ac:dyDescent="0.2">
      <c r="B100" s="22" t="s">
        <v>195</v>
      </c>
      <c r="C100" s="51">
        <f>'3. Food costs'!D35</f>
        <v>2767.1366120000007</v>
      </c>
      <c r="I100" s="57"/>
    </row>
    <row r="101" spans="2:22" x14ac:dyDescent="0.2">
      <c r="B101" s="22" t="s">
        <v>11</v>
      </c>
      <c r="C101" s="51">
        <f>'3. Food costs'!E35</f>
        <v>2767.9707463670707</v>
      </c>
    </row>
    <row r="102" spans="2:22" x14ac:dyDescent="0.2">
      <c r="B102" s="22" t="s">
        <v>358</v>
      </c>
      <c r="C102" s="58">
        <f>ABS(C101-C100)/C100</f>
        <v>3.0144314648313582E-4</v>
      </c>
    </row>
    <row r="103" spans="2:22" x14ac:dyDescent="0.2">
      <c r="C103" s="59"/>
      <c r="S103" s="50"/>
    </row>
    <row r="104" spans="2:22" x14ac:dyDescent="0.2">
      <c r="B104" s="60" t="s">
        <v>12</v>
      </c>
      <c r="C104" s="59"/>
      <c r="S104" s="50"/>
    </row>
    <row r="105" spans="2:22" x14ac:dyDescent="0.2">
      <c r="C105" s="59"/>
      <c r="S105" s="50"/>
    </row>
    <row r="106" spans="2:22" x14ac:dyDescent="0.2">
      <c r="B106" s="22" t="s">
        <v>357</v>
      </c>
      <c r="C106" s="61" t="str">
        <f>IF(ISBLANK('Nutritional input'!E14),B141,'Nutritional input'!E14)</f>
        <v>Moderate</v>
      </c>
    </row>
    <row r="108" spans="2:22" ht="16" x14ac:dyDescent="0.2">
      <c r="B108" s="22" t="s">
        <v>353</v>
      </c>
      <c r="C108" s="62">
        <v>21</v>
      </c>
      <c r="D108" s="63" t="s">
        <v>477</v>
      </c>
    </row>
    <row r="109" spans="2:22" x14ac:dyDescent="0.2">
      <c r="Q109" s="64" t="s">
        <v>29</v>
      </c>
    </row>
    <row r="110" spans="2:22" ht="16" x14ac:dyDescent="0.2">
      <c r="B110" s="65" t="s">
        <v>292</v>
      </c>
      <c r="C110" s="62">
        <v>1.08</v>
      </c>
      <c r="D110" s="63" t="s">
        <v>477</v>
      </c>
      <c r="Q110" s="64"/>
    </row>
    <row r="111" spans="2:22" x14ac:dyDescent="0.2">
      <c r="Q111" s="64"/>
    </row>
    <row r="112" spans="2:22" x14ac:dyDescent="0.2">
      <c r="Q112" s="64"/>
    </row>
    <row r="113" spans="2:17" ht="14.5" customHeight="1" x14ac:dyDescent="0.2">
      <c r="B113" s="66" t="s">
        <v>218</v>
      </c>
      <c r="C113" s="67" t="s">
        <v>354</v>
      </c>
      <c r="D113" s="67" t="s">
        <v>355</v>
      </c>
      <c r="E113" s="67" t="s">
        <v>356</v>
      </c>
      <c r="Q113" s="57"/>
    </row>
    <row r="114" spans="2:17" ht="16" x14ac:dyDescent="0.2">
      <c r="B114" s="22" t="s">
        <v>219</v>
      </c>
      <c r="C114" s="46">
        <f>IF(ISBLANK('Nutritional input'!E12),'Nutritional input'!G12*C115,'Nutritional input'!E12)</f>
        <v>1.6</v>
      </c>
      <c r="D114" s="46">
        <f>IFERROR(C114*C114," ")</f>
        <v>2.5600000000000005</v>
      </c>
      <c r="E114" s="46">
        <f>IFERROR($C$108*D114," ")</f>
        <v>53.760000000000012</v>
      </c>
      <c r="Q114" s="57"/>
    </row>
    <row r="115" spans="2:17" x14ac:dyDescent="0.2">
      <c r="B115" s="22" t="s">
        <v>313</v>
      </c>
      <c r="C115" s="46">
        <f>C110</f>
        <v>1.08</v>
      </c>
      <c r="D115" s="53"/>
      <c r="E115" s="53"/>
    </row>
    <row r="116" spans="2:17" x14ac:dyDescent="0.2">
      <c r="F116" s="34"/>
    </row>
    <row r="117" spans="2:17" x14ac:dyDescent="0.2">
      <c r="C117" s="68" t="s">
        <v>220</v>
      </c>
      <c r="D117" s="68" t="s">
        <v>221</v>
      </c>
      <c r="E117" s="68" t="s">
        <v>222</v>
      </c>
      <c r="F117" s="60"/>
    </row>
    <row r="118" spans="2:17" x14ac:dyDescent="0.2">
      <c r="B118" s="22" t="s">
        <v>223</v>
      </c>
      <c r="C118" s="69" t="s">
        <v>224</v>
      </c>
      <c r="D118" s="69" t="s">
        <v>225</v>
      </c>
      <c r="E118" s="69" t="s">
        <v>226</v>
      </c>
    </row>
    <row r="119" spans="2:17" x14ac:dyDescent="0.2">
      <c r="B119" s="22" t="s">
        <v>227</v>
      </c>
      <c r="C119" s="69">
        <v>1.55</v>
      </c>
      <c r="D119" s="69">
        <v>1.85</v>
      </c>
      <c r="E119" s="69">
        <v>2.2000000000000002</v>
      </c>
    </row>
    <row r="120" spans="2:17" ht="16" x14ac:dyDescent="0.2">
      <c r="B120" s="57"/>
    </row>
    <row r="121" spans="2:17" ht="16" x14ac:dyDescent="0.2">
      <c r="B121" s="57"/>
    </row>
    <row r="122" spans="2:17" x14ac:dyDescent="0.2">
      <c r="B122" s="60" t="s">
        <v>228</v>
      </c>
      <c r="C122" s="60"/>
      <c r="D122" s="60"/>
      <c r="E122" s="60"/>
      <c r="F122" s="64"/>
    </row>
    <row r="124" spans="2:17" ht="32" x14ac:dyDescent="0.2">
      <c r="B124" s="441" t="s">
        <v>124</v>
      </c>
      <c r="C124" s="70" t="s">
        <v>229</v>
      </c>
      <c r="D124" s="68"/>
      <c r="E124" s="68" t="s">
        <v>220</v>
      </c>
      <c r="F124" s="68" t="s">
        <v>221</v>
      </c>
      <c r="G124" s="68" t="s">
        <v>222</v>
      </c>
      <c r="J124" s="57"/>
      <c r="Q124" s="57"/>
    </row>
    <row r="125" spans="2:17" ht="16" x14ac:dyDescent="0.2">
      <c r="B125" s="441"/>
      <c r="C125" s="68" t="s">
        <v>230</v>
      </c>
      <c r="D125" s="68"/>
      <c r="E125" s="68"/>
      <c r="F125" s="68"/>
      <c r="G125" s="68"/>
      <c r="Q125" s="57"/>
    </row>
    <row r="126" spans="2:17" x14ac:dyDescent="0.2">
      <c r="B126" s="22" t="s">
        <v>231</v>
      </c>
      <c r="C126" s="71">
        <f>IFERROR(692.2+(15.057*$E$114)," ")</f>
        <v>1501.6643200000003</v>
      </c>
      <c r="D126" s="71"/>
      <c r="E126" s="71">
        <f>IFERROR($C126*$C$119, " ")</f>
        <v>2327.5796960000007</v>
      </c>
      <c r="F126" s="71">
        <f>IFERROR($C126*$D$119, " ")</f>
        <v>2778.0789920000007</v>
      </c>
      <c r="G126" s="71">
        <f>IFERROR($C126*$E$119, " ")</f>
        <v>3303.6615040000011</v>
      </c>
    </row>
    <row r="127" spans="2:17" x14ac:dyDescent="0.2">
      <c r="B127" s="22" t="s">
        <v>232</v>
      </c>
      <c r="C127" s="71">
        <f>IFERROR(873.1+(11.472*$E$114)," ")</f>
        <v>1489.8347200000003</v>
      </c>
      <c r="D127" s="71"/>
      <c r="E127" s="71">
        <f>IFERROR($C127*$C$119, " ")</f>
        <v>2309.2438160000006</v>
      </c>
      <c r="F127" s="71">
        <f>IFERROR($C127*$D$119, " ")</f>
        <v>2756.1942320000007</v>
      </c>
      <c r="G127" s="71">
        <f>IFERROR($C127*$E$119, " ")</f>
        <v>3277.6363840000008</v>
      </c>
    </row>
    <row r="128" spans="2:17" x14ac:dyDescent="0.2">
      <c r="B128" s="22" t="s">
        <v>198</v>
      </c>
      <c r="C128" s="71">
        <f>AVERAGE(C126:D127)</f>
        <v>1495.7495200000003</v>
      </c>
      <c r="D128" s="71"/>
      <c r="E128" s="71">
        <f>IFERROR($C128*$C$119, " ")</f>
        <v>2318.4117560000004</v>
      </c>
      <c r="F128" s="71">
        <f>IFERROR($C128*$D$119, " ")</f>
        <v>2767.1366120000007</v>
      </c>
      <c r="G128" s="71">
        <f>IFERROR($C128*$E$119, " ")</f>
        <v>3290.6489440000009</v>
      </c>
    </row>
    <row r="131" spans="2:4" x14ac:dyDescent="0.2">
      <c r="B131" s="60" t="s">
        <v>206</v>
      </c>
    </row>
    <row r="133" spans="2:4" x14ac:dyDescent="0.2">
      <c r="C133" s="68" t="s">
        <v>209</v>
      </c>
      <c r="D133" s="68" t="s">
        <v>346</v>
      </c>
    </row>
    <row r="134" spans="2:4" x14ac:dyDescent="0.2">
      <c r="B134" s="22" t="s">
        <v>207</v>
      </c>
      <c r="C134" s="52">
        <f>'3. Food costs'!D35</f>
        <v>2767.1366120000007</v>
      </c>
      <c r="D134" s="52">
        <f>'3. Food costs'!$E$21*(C134/'3. Food costs'!$D$35)</f>
        <v>195195.1622636088</v>
      </c>
    </row>
    <row r="135" spans="2:4" x14ac:dyDescent="0.2">
      <c r="B135" s="22" t="s">
        <v>208</v>
      </c>
      <c r="C135" s="52">
        <f>'3. Food costs'!D35*'Background calculations'!C250</f>
        <v>2269.0520218400006</v>
      </c>
      <c r="D135" s="52">
        <f>'3. Food costs'!$E$21*(C135/'3. Food costs'!$D$35)</f>
        <v>160060.03305615924</v>
      </c>
    </row>
    <row r="136" spans="2:4" x14ac:dyDescent="0.2">
      <c r="B136" s="22" t="s">
        <v>347</v>
      </c>
      <c r="C136" s="52">
        <f>'3. Food costs'!D35*'Background calculations'!C251</f>
        <v>2075.3524590000006</v>
      </c>
      <c r="D136" s="52">
        <f>'3. Food costs'!$E$21*(C136/'3. Food costs'!$D$35)</f>
        <v>146396.37169770661</v>
      </c>
    </row>
    <row r="138" spans="2:4" x14ac:dyDescent="0.2">
      <c r="B138" s="60" t="s">
        <v>305</v>
      </c>
    </row>
    <row r="140" spans="2:4" x14ac:dyDescent="0.2">
      <c r="B140" s="22" t="s">
        <v>220</v>
      </c>
    </row>
    <row r="141" spans="2:4" x14ac:dyDescent="0.2">
      <c r="B141" s="22" t="s">
        <v>221</v>
      </c>
    </row>
    <row r="142" spans="2:4" x14ac:dyDescent="0.2">
      <c r="B142" s="22" t="s">
        <v>222</v>
      </c>
    </row>
    <row r="145" spans="2:22" x14ac:dyDescent="0.2">
      <c r="B145" s="28" t="s">
        <v>343</v>
      </c>
      <c r="C145" s="28"/>
      <c r="D145" s="28"/>
      <c r="E145" s="28"/>
      <c r="F145" s="28"/>
      <c r="G145" s="28"/>
      <c r="H145" s="28"/>
      <c r="I145" s="28"/>
      <c r="J145" s="28"/>
      <c r="K145" s="28"/>
      <c r="L145" s="28"/>
      <c r="M145" s="28"/>
      <c r="N145" s="28"/>
      <c r="O145" s="28"/>
      <c r="P145" s="28"/>
      <c r="Q145" s="28"/>
      <c r="R145" s="28"/>
      <c r="S145" s="28"/>
      <c r="T145" s="28"/>
      <c r="U145" s="28"/>
      <c r="V145" s="28"/>
    </row>
    <row r="147" spans="2:22" x14ac:dyDescent="0.2">
      <c r="B147" s="60" t="s">
        <v>100</v>
      </c>
      <c r="C147" s="60" t="s">
        <v>101</v>
      </c>
      <c r="D147" s="60" t="s">
        <v>146</v>
      </c>
      <c r="E147" s="60" t="s">
        <v>147</v>
      </c>
      <c r="F147" s="60" t="s">
        <v>160</v>
      </c>
      <c r="G147" s="60" t="s">
        <v>609</v>
      </c>
      <c r="H147" s="60" t="s">
        <v>148</v>
      </c>
      <c r="I147" s="60" t="s">
        <v>149</v>
      </c>
      <c r="J147" s="60" t="s">
        <v>150</v>
      </c>
      <c r="K147" s="60" t="s">
        <v>152</v>
      </c>
      <c r="L147" s="72" t="s">
        <v>153</v>
      </c>
      <c r="M147" s="72" t="s">
        <v>159</v>
      </c>
      <c r="N147" s="72" t="s">
        <v>157</v>
      </c>
      <c r="O147" s="72" t="s">
        <v>158</v>
      </c>
      <c r="P147" s="72" t="s">
        <v>155</v>
      </c>
      <c r="Q147" s="72" t="s">
        <v>156</v>
      </c>
    </row>
    <row r="148" spans="2:22" x14ac:dyDescent="0.2">
      <c r="B148" s="22" t="str">
        <f>'Food costs - Input data'!B11</f>
        <v>Cereals and Grains</v>
      </c>
      <c r="C148" s="22" t="str">
        <f>'Food costs - Input data'!C11</f>
        <v>Rice 1</v>
      </c>
      <c r="D148" s="27">
        <f>COUNTA('Food costs - Input data'!D11:AB11)</f>
        <v>3</v>
      </c>
      <c r="E148" s="27">
        <f>_xlfn.MAXIFS(Table2[Availability],Table2[Category],Table2[[#This Row],[Category]])</f>
        <v>3</v>
      </c>
      <c r="F148" s="27" t="b">
        <f>Table2[[#This Row],[Availability]] &gt;= 0.25*Table2[[#This Row],[Most availble in category]]</f>
        <v>1</v>
      </c>
      <c r="G148" s="27">
        <f>(Table2[[#This Row],[Protein (g)]] * 4 +Table2[[#This Row],[Fat, total (g)]] * 9 + Table2[[#This Row],[Carbohydrate (g)]] *4 )</f>
        <v>346.6</v>
      </c>
      <c r="H148" s="45">
        <f>'Nutritional input'!E30</f>
        <v>7.1</v>
      </c>
      <c r="I148" s="45">
        <f>'Nutritional input'!F30</f>
        <v>0.6</v>
      </c>
      <c r="J148" s="45">
        <f>'Nutritional input'!G30</f>
        <v>78.2</v>
      </c>
      <c r="K148" s="45">
        <f>'Nutritional input'!H30</f>
        <v>0.2</v>
      </c>
      <c r="L148" s="375">
        <f>IFERROR((_xlfn.XLOOKUP(Table2[[#This Row],[Item]],'Food costs - Input data'!C:C,'Food costs - Input data'!AE:AE)/Table2[[#This Row],[Edible portion]]) / (10*Table2[[#This Row],[Energy (kcal) per 100g edible portion]]),0)</f>
        <v>4.3277553375649163</v>
      </c>
      <c r="M148" s="45" cm="1">
        <f t="array" ref="M148">SUMPRODUCT((Table2[Category]=Table2[[#This Row],[Category]])*(Table2[[#This Row],[Price per calorie]]&gt;Table2[Price per calorie]))+1</f>
        <v>4</v>
      </c>
      <c r="N148" s="45">
        <f>IF(Table2[[#This Row],[Widely available?]]=FALSE,1,0)</f>
        <v>0</v>
      </c>
      <c r="O148" s="45">
        <f>SUMIFS(Table2[Count false],Table2[Category],Table2[[#This Row],[Category]],Table2[Caloric content2],"&lt;"&amp;Table2[[#This Row],[Caloric content2]])</f>
        <v>0</v>
      </c>
      <c r="P148" s="73">
        <f>IF(Table2[[#This Row],[Widely available?]]=TRUE,Table2[[#This Row],[Caloric content2]]-Table2[[#This Row],[subtract]],0)</f>
        <v>4</v>
      </c>
      <c r="Q148" s="22" t="str">
        <f>IF(Table2[[#This Row],[Final rank]]&gt;0,Table2[[#This Row],[Category]]&amp;Table2[[#This Row],[Final rank]],"")</f>
        <v>Cereals and Grains4</v>
      </c>
    </row>
    <row r="149" spans="2:22" x14ac:dyDescent="0.2">
      <c r="B149" s="22" t="str">
        <f>'Food costs - Input data'!B12</f>
        <v>Cereals and Grains</v>
      </c>
      <c r="C149" s="22" t="str">
        <f>'Food costs - Input data'!C12</f>
        <v>Rice 2</v>
      </c>
      <c r="D149" s="27">
        <f>COUNTA('Food costs - Input data'!D12:AB12)</f>
        <v>3</v>
      </c>
      <c r="E149" s="27">
        <f>_xlfn.MAXIFS(Table2[Availability],Table2[Category],Table2[[#This Row],[Category]])</f>
        <v>3</v>
      </c>
      <c r="F149" s="27" t="b">
        <f>Table2[[#This Row],[Availability]] &gt;= 0.25*Table2[[#This Row],[Most availble in category]]</f>
        <v>1</v>
      </c>
      <c r="G149" s="27">
        <f>(Table2[[#This Row],[Protein (g)]] * 4 +Table2[[#This Row],[Fat, total (g)]] * 9 + Table2[[#This Row],[Carbohydrate (g)]] *4 )</f>
        <v>346.6</v>
      </c>
      <c r="H149" s="45">
        <f>'Nutritional input'!E31</f>
        <v>7.1</v>
      </c>
      <c r="I149" s="45">
        <f>'Nutritional input'!F31</f>
        <v>0.6</v>
      </c>
      <c r="J149" s="45">
        <f>'Nutritional input'!G31</f>
        <v>78.2</v>
      </c>
      <c r="K149" s="45">
        <f>'Nutritional input'!H31</f>
        <v>1</v>
      </c>
      <c r="L149" s="375">
        <f>IFERROR((_xlfn.XLOOKUP(Table2[[#This Row],[Item]],'Food costs - Input data'!C:C,'Food costs - Input data'!AE:AE)/Table2[[#This Row],[Edible portion]]) / (10*Table2[[#This Row],[Energy (kcal) per 100g edible portion]]),0)</f>
        <v>1.154068090017311</v>
      </c>
      <c r="M149" s="45" cm="1">
        <f t="array" ref="M149">SUMPRODUCT((Table2[Category]=Table2[[#This Row],[Category]])*(Table2[[#This Row],[Price per calorie]]&gt;Table2[Price per calorie]))+1</f>
        <v>1</v>
      </c>
      <c r="N149" s="45">
        <f>IF(Table2[[#This Row],[Widely available?]]=FALSE,1,0)</f>
        <v>0</v>
      </c>
      <c r="O149" s="45">
        <f>SUMIFS(Table2[Count false],Table2[Category],Table2[[#This Row],[Category]],Table2[Caloric content2],"&lt;"&amp;Table2[[#This Row],[Caloric content2]])</f>
        <v>0</v>
      </c>
      <c r="P149" s="73">
        <f>IF(Table2[[#This Row],[Widely available?]]=TRUE,Table2[[#This Row],[Caloric content2]]-Table2[[#This Row],[subtract]],0)</f>
        <v>1</v>
      </c>
      <c r="Q149" s="22" t="str">
        <f>IF(Table2[[#This Row],[Final rank]]&gt;0,Table2[[#This Row],[Category]]&amp;Table2[[#This Row],[Final rank]],"")</f>
        <v>Cereals and Grains1</v>
      </c>
    </row>
    <row r="150" spans="2:22" x14ac:dyDescent="0.2">
      <c r="B150" s="22" t="str">
        <f>'Food costs - Input data'!B13</f>
        <v>Cereals and Grains</v>
      </c>
      <c r="C150" s="22" t="str">
        <f>'Food costs - Input data'!C13</f>
        <v>Rice 3</v>
      </c>
      <c r="D150" s="27">
        <f>COUNTA('Food costs - Input data'!D13:AB13)</f>
        <v>3</v>
      </c>
      <c r="E150" s="27">
        <f>_xlfn.MAXIFS(Table2[Availability],Table2[Category],Table2[[#This Row],[Category]])</f>
        <v>3</v>
      </c>
      <c r="F150" s="27" t="b">
        <f>Table2[[#This Row],[Availability]] &gt;= 0.25*Table2[[#This Row],[Most availble in category]]</f>
        <v>1</v>
      </c>
      <c r="G150" s="27">
        <f>(Table2[[#This Row],[Protein (g)]] * 4 +Table2[[#This Row],[Fat, total (g)]] * 9 + Table2[[#This Row],[Carbohydrate (g)]] *4 )</f>
        <v>346.6</v>
      </c>
      <c r="H150" s="45">
        <f>'Nutritional input'!E32</f>
        <v>7.1</v>
      </c>
      <c r="I150" s="45">
        <f>'Nutritional input'!F32</f>
        <v>0.6</v>
      </c>
      <c r="J150" s="45">
        <f>'Nutritional input'!G32</f>
        <v>78.2</v>
      </c>
      <c r="K150" s="45">
        <f>'Nutritional input'!H32</f>
        <v>1</v>
      </c>
      <c r="L150" s="375">
        <f>IFERROR((_xlfn.XLOOKUP(Table2[[#This Row],[Item]],'Food costs - Input data'!C:C,'Food costs - Input data'!AE:AE)/Table2[[#This Row],[Edible portion]]) / (10*Table2[[#This Row],[Energy (kcal) per 100g edible portion]]),0)</f>
        <v>1.5868436237738026</v>
      </c>
      <c r="M150" s="45" cm="1">
        <f t="array" ref="M150">SUMPRODUCT((Table2[Category]=Table2[[#This Row],[Category]])*(Table2[[#This Row],[Price per calorie]]&gt;Table2[Price per calorie]))+1</f>
        <v>3</v>
      </c>
      <c r="N150" s="45">
        <f>IF(Table2[[#This Row],[Widely available?]]=FALSE,1,0)</f>
        <v>0</v>
      </c>
      <c r="O150" s="45">
        <f>SUMIFS(Table2[Count false],Table2[Category],Table2[[#This Row],[Category]],Table2[Caloric content2],"&lt;"&amp;Table2[[#This Row],[Caloric content2]])</f>
        <v>0</v>
      </c>
      <c r="P150" s="73">
        <f>IF(Table2[[#This Row],[Widely available?]]=TRUE,Table2[[#This Row],[Caloric content2]]-Table2[[#This Row],[subtract]],0)</f>
        <v>3</v>
      </c>
      <c r="Q150" s="22" t="str">
        <f>IF(Table2[[#This Row],[Final rank]]&gt;0,Table2[[#This Row],[Category]]&amp;Table2[[#This Row],[Final rank]],"")</f>
        <v>Cereals and Grains3</v>
      </c>
    </row>
    <row r="151" spans="2:22" x14ac:dyDescent="0.2">
      <c r="B151" s="22" t="str">
        <f>'Food costs - Input data'!B14</f>
        <v>Cereals and Grains</v>
      </c>
      <c r="C151" s="22" t="str">
        <f>'Food costs - Input data'!C14</f>
        <v>Rice 4</v>
      </c>
      <c r="D151" s="27">
        <f>COUNTA('Food costs - Input data'!D14:AB14)</f>
        <v>3</v>
      </c>
      <c r="E151" s="27">
        <f>_xlfn.MAXIFS(Table2[Availability],Table2[Category],Table2[[#This Row],[Category]])</f>
        <v>3</v>
      </c>
      <c r="F151" s="27" t="b">
        <f>Table2[[#This Row],[Availability]] &gt;= 0.25*Table2[[#This Row],[Most availble in category]]</f>
        <v>1</v>
      </c>
      <c r="G151" s="27">
        <f>(Table2[[#This Row],[Protein (g)]] * 4 +Table2[[#This Row],[Fat, total (g)]] * 9 + Table2[[#This Row],[Carbohydrate (g)]] *4 )</f>
        <v>346.6</v>
      </c>
      <c r="H151" s="45">
        <f>'Nutritional input'!E33</f>
        <v>7.1</v>
      </c>
      <c r="I151" s="45">
        <f>'Nutritional input'!F33</f>
        <v>0.6</v>
      </c>
      <c r="J151" s="45">
        <f>'Nutritional input'!G33</f>
        <v>78.2</v>
      </c>
      <c r="K151" s="45">
        <f>'Nutritional input'!H33</f>
        <v>1</v>
      </c>
      <c r="L151" s="375">
        <f>IFERROR((_xlfn.XLOOKUP(Table2[[#This Row],[Item]],'Food costs - Input data'!C:C,'Food costs - Input data'!AE:AE)/Table2[[#This Row],[Edible portion]]) / (10*Table2[[#This Row],[Energy (kcal) per 100g edible portion]]),0)</f>
        <v>1.154068090017311</v>
      </c>
      <c r="M151" s="45" cm="1">
        <f t="array" ref="M151">SUMPRODUCT((Table2[Category]=Table2[[#This Row],[Category]])*(Table2[[#This Row],[Price per calorie]]&gt;Table2[Price per calorie]))+1</f>
        <v>1</v>
      </c>
      <c r="N151" s="45">
        <f>IF(Table2[[#This Row],[Widely available?]]=FALSE,1,0)</f>
        <v>0</v>
      </c>
      <c r="O151" s="45">
        <f>SUMIFS(Table2[Count false],Table2[Category],Table2[[#This Row],[Category]],Table2[Caloric content2],"&lt;"&amp;Table2[[#This Row],[Caloric content2]])</f>
        <v>0</v>
      </c>
      <c r="P151" s="73">
        <f>IF(Table2[[#This Row],[Widely available?]]=TRUE,Table2[[#This Row],[Caloric content2]]-Table2[[#This Row],[subtract]],0)</f>
        <v>1</v>
      </c>
      <c r="Q151" s="22" t="str">
        <f>IF(Table2[[#This Row],[Final rank]]&gt;0,Table2[[#This Row],[Category]]&amp;Table2[[#This Row],[Final rank]],"")</f>
        <v>Cereals and Grains1</v>
      </c>
    </row>
    <row r="152" spans="2:22" x14ac:dyDescent="0.2">
      <c r="B152" s="22" t="str">
        <f>'Food costs - Input data'!B15</f>
        <v>Prepared cereals</v>
      </c>
      <c r="C152" s="22" t="str">
        <f>'Food costs - Input data'!C15</f>
        <v>Bread</v>
      </c>
      <c r="D152" s="27">
        <f>COUNTA('Food costs - Input data'!D15:AB15)</f>
        <v>3</v>
      </c>
      <c r="E152" s="27">
        <f>_xlfn.MAXIFS(Table2[Availability],Table2[Category],Table2[[#This Row],[Category]])</f>
        <v>3</v>
      </c>
      <c r="F152" s="27" t="b">
        <f>Table2[[#This Row],[Availability]] &gt;= 0.25*Table2[[#This Row],[Most availble in category]]</f>
        <v>1</v>
      </c>
      <c r="G152" s="27">
        <f>(Table2[[#This Row],[Protein (g)]] * 4 +Table2[[#This Row],[Fat, total (g)]] * 9 + Table2[[#This Row],[Carbohydrate (g)]] *4 )</f>
        <v>259.7</v>
      </c>
      <c r="H152" s="45">
        <f>'Nutritional input'!E34</f>
        <v>8.5</v>
      </c>
      <c r="I152" s="45">
        <f>'Nutritional input'!F34</f>
        <v>3.3</v>
      </c>
      <c r="J152" s="45">
        <f>'Nutritional input'!G34</f>
        <v>49</v>
      </c>
      <c r="K152" s="45">
        <f>'Nutritional input'!H34</f>
        <v>1</v>
      </c>
      <c r="L152" s="375">
        <f>IFERROR((_xlfn.XLOOKUP(Table2[[#This Row],[Item]],'Food costs - Input data'!C:C,'Food costs - Input data'!AE:AE)/Table2[[#This Row],[Edible portion]]) / (10*Table2[[#This Row],[Energy (kcal) per 100g edible portion]]),0)</f>
        <v>2.1178282633808241</v>
      </c>
      <c r="M152" s="45" cm="1">
        <f t="array" ref="M152">SUMPRODUCT((Table2[Category]=Table2[[#This Row],[Category]])*(Table2[[#This Row],[Price per calorie]]&gt;Table2[Price per calorie]))+1</f>
        <v>3</v>
      </c>
      <c r="N152" s="45">
        <f>IF(Table2[[#This Row],[Widely available?]]=FALSE,1,0)</f>
        <v>0</v>
      </c>
      <c r="O152" s="45">
        <f>SUMIFS(Table2[Count false],Table2[Category],Table2[[#This Row],[Category]],Table2[Caloric content2],"&lt;"&amp;Table2[[#This Row],[Caloric content2]])</f>
        <v>0</v>
      </c>
      <c r="P152" s="73">
        <f>IF(Table2[[#This Row],[Widely available?]]=TRUE,Table2[[#This Row],[Caloric content2]]-Table2[[#This Row],[subtract]],0)</f>
        <v>3</v>
      </c>
      <c r="Q152" s="22" t="str">
        <f>IF(Table2[[#This Row],[Final rank]]&gt;0,Table2[[#This Row],[Category]]&amp;Table2[[#This Row],[Final rank]],"")</f>
        <v>Prepared cereals3</v>
      </c>
    </row>
    <row r="153" spans="2:22" x14ac:dyDescent="0.2">
      <c r="B153" s="22" t="str">
        <f>'Food costs - Input data'!B16</f>
        <v>Prepared cereals</v>
      </c>
      <c r="C153" s="22" t="str">
        <f>'Food costs - Input data'!C16</f>
        <v>chapati</v>
      </c>
      <c r="D153" s="27">
        <f>COUNTA('Food costs - Input data'!D16:AB16)</f>
        <v>3</v>
      </c>
      <c r="E153" s="27">
        <f>_xlfn.MAXIFS(Table2[Availability],Table2[Category],Table2[[#This Row],[Category]])</f>
        <v>3</v>
      </c>
      <c r="F153" s="27" t="b">
        <f>Table2[[#This Row],[Availability]] &gt;= 0.25*Table2[[#This Row],[Most availble in category]]</f>
        <v>1</v>
      </c>
      <c r="G153" s="27">
        <f>(Table2[[#This Row],[Protein (g)]] * 4 +Table2[[#This Row],[Fat, total (g)]] * 9 + Table2[[#This Row],[Carbohydrate (g)]] *4 )</f>
        <v>324</v>
      </c>
      <c r="H153" s="45">
        <f>'Nutritional input'!E35</f>
        <v>9</v>
      </c>
      <c r="I153" s="45">
        <f>'Nutritional input'!F35</f>
        <v>12</v>
      </c>
      <c r="J153" s="45">
        <f>'Nutritional input'!G35</f>
        <v>45</v>
      </c>
      <c r="K153" s="45">
        <f>'Nutritional input'!H35</f>
        <v>1</v>
      </c>
      <c r="L153" s="375">
        <f>IFERROR((_xlfn.XLOOKUP(Table2[[#This Row],[Item]],'Food costs - Input data'!C:C,'Food costs - Input data'!AE:AE)/Table2[[#This Row],[Edible portion]]) / (10*Table2[[#This Row],[Energy (kcal) per 100g edible portion]]),0)</f>
        <v>1.5432098765432098</v>
      </c>
      <c r="M153" s="45" cm="1">
        <f t="array" ref="M153">SUMPRODUCT((Table2[Category]=Table2[[#This Row],[Category]])*(Table2[[#This Row],[Price per calorie]]&gt;Table2[Price per calorie]))+1</f>
        <v>2</v>
      </c>
      <c r="N153" s="45">
        <f>IF(Table2[[#This Row],[Widely available?]]=FALSE,1,0)</f>
        <v>0</v>
      </c>
      <c r="O153" s="45">
        <f>SUMIFS(Table2[Count false],Table2[Category],Table2[[#This Row],[Category]],Table2[Caloric content2],"&lt;"&amp;Table2[[#This Row],[Caloric content2]])</f>
        <v>0</v>
      </c>
      <c r="P153" s="73">
        <f>IF(Table2[[#This Row],[Widely available?]]=TRUE,Table2[[#This Row],[Caloric content2]]-Table2[[#This Row],[subtract]],0)</f>
        <v>2</v>
      </c>
      <c r="Q153" s="22" t="str">
        <f>IF(Table2[[#This Row],[Final rank]]&gt;0,Table2[[#This Row],[Category]]&amp;Table2[[#This Row],[Final rank]],"")</f>
        <v>Prepared cereals2</v>
      </c>
    </row>
    <row r="154" spans="2:22" x14ac:dyDescent="0.2">
      <c r="B154" s="22" t="str">
        <f>'Food costs - Input data'!B17</f>
        <v>Prepared cereals</v>
      </c>
      <c r="C154" s="22" t="str">
        <f>'Food costs - Input data'!C17</f>
        <v>Doughnut</v>
      </c>
      <c r="D154" s="27">
        <f>COUNTA('Food costs - Input data'!D17:AB17)</f>
        <v>3</v>
      </c>
      <c r="E154" s="27">
        <f>_xlfn.MAXIFS(Table2[Availability],Table2[Category],Table2[[#This Row],[Category]])</f>
        <v>3</v>
      </c>
      <c r="F154" s="27" t="b">
        <f>Table2[[#This Row],[Availability]] &gt;= 0.25*Table2[[#This Row],[Most availble in category]]</f>
        <v>1</v>
      </c>
      <c r="G154" s="27">
        <f>(Table2[[#This Row],[Protein (g)]] * 4 +Table2[[#This Row],[Fat, total (g)]] * 9 + Table2[[#This Row],[Carbohydrate (g)]] *4 )</f>
        <v>449</v>
      </c>
      <c r="H154" s="45">
        <f>'Nutritional input'!E36</f>
        <v>5</v>
      </c>
      <c r="I154" s="45">
        <f>'Nutritional input'!F36</f>
        <v>25</v>
      </c>
      <c r="J154" s="45">
        <f>'Nutritional input'!G36</f>
        <v>51</v>
      </c>
      <c r="K154" s="45">
        <f>'Nutritional input'!H36</f>
        <v>1</v>
      </c>
      <c r="L154" s="375">
        <f>IFERROR((_xlfn.XLOOKUP(Table2[[#This Row],[Item]],'Food costs - Input data'!C:C,'Food costs - Input data'!AE:AE)/Table2[[#This Row],[Edible portion]]) / (10*Table2[[#This Row],[Energy (kcal) per 100g edible portion]]),0)</f>
        <v>0.66815144766146994</v>
      </c>
      <c r="M154" s="45" cm="1">
        <f t="array" ref="M154">SUMPRODUCT((Table2[Category]=Table2[[#This Row],[Category]])*(Table2[[#This Row],[Price per calorie]]&gt;Table2[Price per calorie]))+1</f>
        <v>1</v>
      </c>
      <c r="N154" s="45">
        <f>IF(Table2[[#This Row],[Widely available?]]=FALSE,1,0)</f>
        <v>0</v>
      </c>
      <c r="O154" s="45">
        <f>SUMIFS(Table2[Count false],Table2[Category],Table2[[#This Row],[Category]],Table2[Caloric content2],"&lt;"&amp;Table2[[#This Row],[Caloric content2]])</f>
        <v>0</v>
      </c>
      <c r="P154" s="73">
        <f>IF(Table2[[#This Row],[Widely available?]]=TRUE,Table2[[#This Row],[Caloric content2]]-Table2[[#This Row],[subtract]],0)</f>
        <v>1</v>
      </c>
      <c r="Q154" s="22" t="str">
        <f>IF(Table2[[#This Row],[Final rank]]&gt;0,Table2[[#This Row],[Category]]&amp;Table2[[#This Row],[Final rank]],"")</f>
        <v>Prepared cereals1</v>
      </c>
    </row>
    <row r="155" spans="2:22" x14ac:dyDescent="0.2">
      <c r="B155" s="22" t="str">
        <f>'Food costs - Input data'!B18</f>
        <v>Roots &amp; tubers (starchy)</v>
      </c>
      <c r="C155" s="22" t="str">
        <f>'Food costs - Input data'!C18</f>
        <v>Cassava</v>
      </c>
      <c r="D155" s="27">
        <f>COUNTA('Food costs - Input data'!D18:AB18)</f>
        <v>3</v>
      </c>
      <c r="E155" s="27">
        <f>_xlfn.MAXIFS(Table2[Availability],Table2[Category],Table2[[#This Row],[Category]])</f>
        <v>3</v>
      </c>
      <c r="F155" s="27" t="b">
        <f>Table2[[#This Row],[Availability]] &gt;= 0.25*Table2[[#This Row],[Most availble in category]]</f>
        <v>1</v>
      </c>
      <c r="G155" s="27">
        <f>(Table2[[#This Row],[Protein (g)]] * 4 +Table2[[#This Row],[Fat, total (g)]] * 9 + Table2[[#This Row],[Carbohydrate (g)]] *4 )</f>
        <v>160.70000000000002</v>
      </c>
      <c r="H155" s="45">
        <f>'Nutritional input'!E37</f>
        <v>1.4</v>
      </c>
      <c r="I155" s="45">
        <f>'Nutritional input'!F37</f>
        <v>0.3</v>
      </c>
      <c r="J155" s="45">
        <f>'Nutritional input'!G37</f>
        <v>38.1</v>
      </c>
      <c r="K155" s="45">
        <f>'Nutritional input'!H37</f>
        <v>0.8</v>
      </c>
      <c r="L155" s="375">
        <f>IFERROR((_xlfn.XLOOKUP(Table2[[#This Row],[Item]],'Food costs - Input data'!C:C,'Food costs - Input data'!AE:AE)/Table2[[#This Row],[Edible portion]]) / (10*Table2[[#This Row],[Energy (kcal) per 100g edible portion]]),0)</f>
        <v>1.5556938394523956</v>
      </c>
      <c r="M155" s="45" cm="1">
        <f t="array" ref="M155">SUMPRODUCT((Table2[Category]=Table2[[#This Row],[Category]])*(Table2[[#This Row],[Price per calorie]]&gt;Table2[Price per calorie]))+1</f>
        <v>1</v>
      </c>
      <c r="N155" s="45">
        <f>IF(Table2[[#This Row],[Widely available?]]=FALSE,1,0)</f>
        <v>0</v>
      </c>
      <c r="O155" s="45">
        <f>SUMIFS(Table2[Count false],Table2[Category],Table2[[#This Row],[Category]],Table2[Caloric content2],"&lt;"&amp;Table2[[#This Row],[Caloric content2]])</f>
        <v>0</v>
      </c>
      <c r="P155" s="73">
        <f>IF(Table2[[#This Row],[Widely available?]]=TRUE,Table2[[#This Row],[Caloric content2]]-Table2[[#This Row],[subtract]],0)</f>
        <v>1</v>
      </c>
      <c r="Q155" s="22" t="str">
        <f>IF(Table2[[#This Row],[Final rank]]&gt;0,Table2[[#This Row],[Category]]&amp;Table2[[#This Row],[Final rank]],"")</f>
        <v>Roots &amp; tubers (starchy)1</v>
      </c>
    </row>
    <row r="156" spans="2:22" x14ac:dyDescent="0.2">
      <c r="B156" s="22" t="str">
        <f>'Food costs - Input data'!B19</f>
        <v>Roots &amp; tubers (starchy)</v>
      </c>
      <c r="C156" s="22" t="str">
        <f>'Food costs - Input data'!C19</f>
        <v>Potatoes</v>
      </c>
      <c r="D156" s="27">
        <f>COUNTA('Food costs - Input data'!D19:AB19)</f>
        <v>3</v>
      </c>
      <c r="E156" s="27">
        <f>_xlfn.MAXIFS(Table2[Availability],Table2[Category],Table2[[#This Row],[Category]])</f>
        <v>3</v>
      </c>
      <c r="F156" s="27" t="b">
        <f>Table2[[#This Row],[Availability]] &gt;= 0.25*Table2[[#This Row],[Most availble in category]]</f>
        <v>1</v>
      </c>
      <c r="G156" s="27">
        <f>(Table2[[#This Row],[Protein (g)]] * 4 +Table2[[#This Row],[Fat, total (g)]] * 9 + Table2[[#This Row],[Carbohydrate (g)]] *4 )</f>
        <v>76.900000000000006</v>
      </c>
      <c r="H156" s="45">
        <f>'Nutritional input'!E38</f>
        <v>2</v>
      </c>
      <c r="I156" s="45">
        <f>'Nutritional input'!F38</f>
        <v>0.1</v>
      </c>
      <c r="J156" s="45">
        <f>'Nutritional input'!G38</f>
        <v>17</v>
      </c>
      <c r="K156" s="45">
        <f>'Nutritional input'!H38</f>
        <v>0.8</v>
      </c>
      <c r="L156" s="375">
        <f>IFERROR((_xlfn.XLOOKUP(Table2[[#This Row],[Item]],'Food costs - Input data'!C:C,'Food costs - Input data'!AE:AE)/Table2[[#This Row],[Edible portion]]) / (10*Table2[[#This Row],[Energy (kcal) per 100g edible portion]]),0)</f>
        <v>4.8764629388816649</v>
      </c>
      <c r="M156" s="45" cm="1">
        <f t="array" ref="M156">SUMPRODUCT((Table2[Category]=Table2[[#This Row],[Category]])*(Table2[[#This Row],[Price per calorie]]&gt;Table2[Price per calorie]))+1</f>
        <v>2</v>
      </c>
      <c r="N156" s="45">
        <f>IF(Table2[[#This Row],[Widely available?]]=FALSE,1,0)</f>
        <v>0</v>
      </c>
      <c r="O156" s="45">
        <f>SUMIFS(Table2[Count false],Table2[Category],Table2[[#This Row],[Category]],Table2[Caloric content2],"&lt;"&amp;Table2[[#This Row],[Caloric content2]])</f>
        <v>0</v>
      </c>
      <c r="P156" s="73">
        <f>IF(Table2[[#This Row],[Widely available?]]=TRUE,Table2[[#This Row],[Caloric content2]]-Table2[[#This Row],[subtract]],0)</f>
        <v>2</v>
      </c>
      <c r="Q156" s="22" t="str">
        <f>IF(Table2[[#This Row],[Final rank]]&gt;0,Table2[[#This Row],[Category]]&amp;Table2[[#This Row],[Final rank]],"")</f>
        <v>Roots &amp; tubers (starchy)2</v>
      </c>
    </row>
    <row r="157" spans="2:22" x14ac:dyDescent="0.2">
      <c r="B157" s="22" t="str">
        <f>'Food costs - Input data'!B20</f>
        <v>Roots &amp; tubers (starchy)</v>
      </c>
      <c r="C157" s="22" t="str">
        <f>'Food costs - Input data'!C20</f>
        <v>Yams</v>
      </c>
      <c r="D157" s="27">
        <f>COUNTA('Food costs - Input data'!D20:AB20)</f>
        <v>3</v>
      </c>
      <c r="E157" s="27">
        <f>_xlfn.MAXIFS(Table2[Availability],Table2[Category],Table2[[#This Row],[Category]])</f>
        <v>3</v>
      </c>
      <c r="F157" s="27" t="b">
        <f>Table2[[#This Row],[Availability]] &gt;= 0.25*Table2[[#This Row],[Most availble in category]]</f>
        <v>1</v>
      </c>
      <c r="G157" s="27">
        <f>(Table2[[#This Row],[Protein (g)]] * 4 +Table2[[#This Row],[Fat, total (g)]] * 9 + Table2[[#This Row],[Carbohydrate (g)]] *4 )</f>
        <v>115.8</v>
      </c>
      <c r="H157" s="45">
        <f>'Nutritional input'!E39</f>
        <v>1.5</v>
      </c>
      <c r="I157" s="45">
        <f>'Nutritional input'!F39</f>
        <v>0.2</v>
      </c>
      <c r="J157" s="45">
        <f>'Nutritional input'!G39</f>
        <v>27</v>
      </c>
      <c r="K157" s="45">
        <f>'Nutritional input'!H39</f>
        <v>0.8</v>
      </c>
      <c r="L157" s="375">
        <f>IFERROR((_xlfn.XLOOKUP(Table2[[#This Row],[Item]],'Food costs - Input data'!C:C,'Food costs - Input data'!AE:AE)/Table2[[#This Row],[Edible portion]]) / (10*Table2[[#This Row],[Energy (kcal) per 100g edible portion]]),0)</f>
        <v>10.794473229706391</v>
      </c>
      <c r="M157" s="45" cm="1">
        <f t="array" ref="M157">SUMPRODUCT((Table2[Category]=Table2[[#This Row],[Category]])*(Table2[[#This Row],[Price per calorie]]&gt;Table2[Price per calorie]))+1</f>
        <v>3</v>
      </c>
      <c r="N157" s="45">
        <f>IF(Table2[[#This Row],[Widely available?]]=FALSE,1,0)</f>
        <v>0</v>
      </c>
      <c r="O157" s="45">
        <f>SUMIFS(Table2[Count false],Table2[Category],Table2[[#This Row],[Category]],Table2[Caloric content2],"&lt;"&amp;Table2[[#This Row],[Caloric content2]])</f>
        <v>0</v>
      </c>
      <c r="P157" s="73">
        <f>IF(Table2[[#This Row],[Widely available?]]=TRUE,Table2[[#This Row],[Caloric content2]]-Table2[[#This Row],[subtract]],0)</f>
        <v>3</v>
      </c>
      <c r="Q157" s="22" t="str">
        <f>IF(Table2[[#This Row],[Final rank]]&gt;0,Table2[[#This Row],[Category]]&amp;Table2[[#This Row],[Final rank]],"")</f>
        <v>Roots &amp; tubers (starchy)3</v>
      </c>
    </row>
    <row r="158" spans="2:22" x14ac:dyDescent="0.2">
      <c r="B158" s="22" t="str">
        <f>'Food costs - Input data'!B21</f>
        <v>Starchy fruit or vegetable</v>
      </c>
      <c r="C158" s="22" t="str">
        <f>'Food costs - Input data'!C21</f>
        <v>Pumpkin</v>
      </c>
      <c r="D158" s="27">
        <f>COUNTA('Food costs - Input data'!D21:AB21)</f>
        <v>3</v>
      </c>
      <c r="E158" s="27">
        <f>_xlfn.MAXIFS(Table2[Availability],Table2[Category],Table2[[#This Row],[Category]])</f>
        <v>3</v>
      </c>
      <c r="F158" s="27" t="b">
        <f>Table2[[#This Row],[Availability]] &gt;= 0.25*Table2[[#This Row],[Most availble in category]]</f>
        <v>1</v>
      </c>
      <c r="G158" s="27">
        <f>(Table2[[#This Row],[Protein (g)]] * 4 +Table2[[#This Row],[Fat, total (g)]] * 9 + Table2[[#This Row],[Carbohydrate (g)]] *4 )</f>
        <v>32.9</v>
      </c>
      <c r="H158" s="45">
        <f>'Nutritional input'!E40</f>
        <v>1</v>
      </c>
      <c r="I158" s="45">
        <f>'Nutritional input'!F40</f>
        <v>0.1</v>
      </c>
      <c r="J158" s="45">
        <f>'Nutritional input'!G40</f>
        <v>7</v>
      </c>
      <c r="K158" s="45">
        <f>'Nutritional input'!H40</f>
        <v>0.8</v>
      </c>
      <c r="L158" s="375">
        <f>IFERROR((_xlfn.XLOOKUP(Table2[[#This Row],[Item]],'Food costs - Input data'!C:C,'Food costs - Input data'!AE:AE)/Table2[[#This Row],[Edible portion]]) / (10*Table2[[#This Row],[Energy (kcal) per 100g edible portion]]),0)</f>
        <v>22.796352583586625</v>
      </c>
      <c r="M158" s="45" cm="1">
        <f t="array" ref="M158">SUMPRODUCT((Table2[Category]=Table2[[#This Row],[Category]])*(Table2[[#This Row],[Price per calorie]]&gt;Table2[Price per calorie]))+1</f>
        <v>3</v>
      </c>
      <c r="N158" s="45">
        <f>IF(Table2[[#This Row],[Widely available?]]=FALSE,1,0)</f>
        <v>0</v>
      </c>
      <c r="O158" s="45">
        <f>SUMIFS(Table2[Count false],Table2[Category],Table2[[#This Row],[Category]],Table2[Caloric content2],"&lt;"&amp;Table2[[#This Row],[Caloric content2]])</f>
        <v>0</v>
      </c>
      <c r="P158" s="73">
        <f>IF(Table2[[#This Row],[Widely available?]]=TRUE,Table2[[#This Row],[Caloric content2]]-Table2[[#This Row],[subtract]],0)</f>
        <v>3</v>
      </c>
      <c r="Q158" s="22" t="str">
        <f>IF(Table2[[#This Row],[Final rank]]&gt;0,Table2[[#This Row],[Category]]&amp;Table2[[#This Row],[Final rank]],"")</f>
        <v>Starchy fruit or vegetable3</v>
      </c>
    </row>
    <row r="159" spans="2:22" x14ac:dyDescent="0.2">
      <c r="B159" s="22" t="str">
        <f>'Food costs - Input data'!B22</f>
        <v>Starchy fruit or vegetable</v>
      </c>
      <c r="C159" s="22" t="str">
        <f>'Food costs - Input data'!C22</f>
        <v>Matooke</v>
      </c>
      <c r="D159" s="27">
        <f>COUNTA('Food costs - Input data'!D22:AB22)</f>
        <v>3</v>
      </c>
      <c r="E159" s="27">
        <f>_xlfn.MAXIFS(Table2[Availability],Table2[Category],Table2[[#This Row],[Category]])</f>
        <v>3</v>
      </c>
      <c r="F159" s="27" t="b">
        <f>Table2[[#This Row],[Availability]] &gt;= 0.25*Table2[[#This Row],[Most availble in category]]</f>
        <v>1</v>
      </c>
      <c r="G159" s="27">
        <f>(Table2[[#This Row],[Protein (g)]] * 4 +Table2[[#This Row],[Fat, total (g)]] * 9 + Table2[[#This Row],[Carbohydrate (g)]] *4 )</f>
        <v>45.4</v>
      </c>
      <c r="H159" s="45">
        <f>'Nutritional input'!E41</f>
        <v>0.9</v>
      </c>
      <c r="I159" s="45">
        <f>'Nutritional input'!F41</f>
        <v>0.2</v>
      </c>
      <c r="J159" s="45">
        <f>'Nutritional input'!G41</f>
        <v>10</v>
      </c>
      <c r="K159" s="45">
        <f>'Nutritional input'!H41</f>
        <v>0.8</v>
      </c>
      <c r="L159" s="375">
        <f>IFERROR((_xlfn.XLOOKUP(Table2[[#This Row],[Item]],'Food costs - Input data'!C:C,'Food costs - Input data'!AE:AE)/Table2[[#This Row],[Edible portion]]) / (10*Table2[[#This Row],[Energy (kcal) per 100g edible portion]]),0)</f>
        <v>2.2026431718061672</v>
      </c>
      <c r="M159" s="45" cm="1">
        <f t="array" ref="M159">SUMPRODUCT((Table2[Category]=Table2[[#This Row],[Category]])*(Table2[[#This Row],[Price per calorie]]&gt;Table2[Price per calorie]))+1</f>
        <v>1</v>
      </c>
      <c r="N159" s="45">
        <f>IF(Table2[[#This Row],[Widely available?]]=FALSE,1,0)</f>
        <v>0</v>
      </c>
      <c r="O159" s="45">
        <f>SUMIFS(Table2[Count false],Table2[Category],Table2[[#This Row],[Category]],Table2[Caloric content2],"&lt;"&amp;Table2[[#This Row],[Caloric content2]])</f>
        <v>0</v>
      </c>
      <c r="P159" s="73">
        <f>IF(Table2[[#This Row],[Widely available?]]=TRUE,Table2[[#This Row],[Caloric content2]]-Table2[[#This Row],[subtract]],0)</f>
        <v>1</v>
      </c>
      <c r="Q159" s="22" t="str">
        <f>IF(Table2[[#This Row],[Final rank]]&gt;0,Table2[[#This Row],[Category]]&amp;Table2[[#This Row],[Final rank]],"")</f>
        <v>Starchy fruit or vegetable1</v>
      </c>
    </row>
    <row r="160" spans="2:22" x14ac:dyDescent="0.2">
      <c r="B160" s="22" t="str">
        <f>'Food costs - Input data'!B23</f>
        <v>Starchy fruit or vegetable</v>
      </c>
      <c r="C160" s="22" t="str">
        <f>'Food costs - Input data'!C23</f>
        <v>Green Pepper</v>
      </c>
      <c r="D160" s="27">
        <f>COUNTA('Food costs - Input data'!D23:AB23)</f>
        <v>3</v>
      </c>
      <c r="E160" s="27">
        <f>_xlfn.MAXIFS(Table2[Availability],Table2[Category],Table2[[#This Row],[Category]])</f>
        <v>3</v>
      </c>
      <c r="F160" s="27" t="b">
        <f>Table2[[#This Row],[Availability]] &gt;= 0.25*Table2[[#This Row],[Most availble in category]]</f>
        <v>1</v>
      </c>
      <c r="G160" s="27">
        <f>(Table2[[#This Row],[Protein (g)]] * 4 +Table2[[#This Row],[Fat, total (g)]] * 9 + Table2[[#This Row],[Carbohydrate (g)]] *4 )</f>
        <v>30.7</v>
      </c>
      <c r="H160" s="45">
        <f>'Nutritional input'!E42</f>
        <v>1</v>
      </c>
      <c r="I160" s="45">
        <f>'Nutritional input'!F42</f>
        <v>0.3</v>
      </c>
      <c r="J160" s="45">
        <f>'Nutritional input'!G42</f>
        <v>6</v>
      </c>
      <c r="K160" s="45">
        <f>'Nutritional input'!H42</f>
        <v>0.8</v>
      </c>
      <c r="L160" s="375">
        <f>IFERROR((_xlfn.XLOOKUP(Table2[[#This Row],[Item]],'Food costs - Input data'!C:C,'Food costs - Input data'!AE:AE)/Table2[[#This Row],[Edible portion]]) / (10*Table2[[#This Row],[Energy (kcal) per 100g edible portion]]),0)</f>
        <v>4.0716612377850163</v>
      </c>
      <c r="M160" s="45" cm="1">
        <f t="array" ref="M160">SUMPRODUCT((Table2[Category]=Table2[[#This Row],[Category]])*(Table2[[#This Row],[Price per calorie]]&gt;Table2[Price per calorie]))+1</f>
        <v>2</v>
      </c>
      <c r="N160" s="45">
        <f>IF(Table2[[#This Row],[Widely available?]]=FALSE,1,0)</f>
        <v>0</v>
      </c>
      <c r="O160" s="45">
        <f>SUMIFS(Table2[Count false],Table2[Category],Table2[[#This Row],[Category]],Table2[Caloric content2],"&lt;"&amp;Table2[[#This Row],[Caloric content2]])</f>
        <v>0</v>
      </c>
      <c r="P160" s="73">
        <f>IF(Table2[[#This Row],[Widely available?]]=TRUE,Table2[[#This Row],[Caloric content2]]-Table2[[#This Row],[subtract]],0)</f>
        <v>2</v>
      </c>
      <c r="Q160" s="22" t="str">
        <f>IF(Table2[[#This Row],[Final rank]]&gt;0,Table2[[#This Row],[Category]]&amp;Table2[[#This Row],[Final rank]],"")</f>
        <v>Starchy fruit or vegetable2</v>
      </c>
    </row>
    <row r="161" spans="2:17" x14ac:dyDescent="0.2">
      <c r="B161" s="22" t="str">
        <f>'Food costs - Input data'!B24</f>
        <v>Pulses, legumes, beans</v>
      </c>
      <c r="C161" s="22" t="str">
        <f>'Food costs - Input data'!C24</f>
        <v>Groundnuts</v>
      </c>
      <c r="D161" s="27">
        <f>COUNTA('Food costs - Input data'!D24:AB24)</f>
        <v>3</v>
      </c>
      <c r="E161" s="27">
        <f>_xlfn.MAXIFS(Table2[Availability],Table2[Category],Table2[[#This Row],[Category]])</f>
        <v>3</v>
      </c>
      <c r="F161" s="27" t="b">
        <f>Table2[[#This Row],[Availability]] &gt;= 0.25*Table2[[#This Row],[Most availble in category]]</f>
        <v>1</v>
      </c>
      <c r="G161" s="27">
        <f>(Table2[[#This Row],[Protein (g)]] * 4 +Table2[[#This Row],[Fat, total (g)]] * 9 + Table2[[#This Row],[Carbohydrate (g)]] *4 )</f>
        <v>610.4</v>
      </c>
      <c r="H161" s="45">
        <f>'Nutritional input'!E43</f>
        <v>25.8</v>
      </c>
      <c r="I161" s="45">
        <f>'Nutritional input'!F43</f>
        <v>49.2</v>
      </c>
      <c r="J161" s="45">
        <f>'Nutritional input'!G43</f>
        <v>16.100000000000001</v>
      </c>
      <c r="K161" s="45">
        <f>'Nutritional input'!H43</f>
        <v>0.8</v>
      </c>
      <c r="L161" s="375">
        <f>IFERROR((_xlfn.XLOOKUP(Table2[[#This Row],[Item]],'Food costs - Input data'!C:C,'Food costs - Input data'!AE:AE)/Table2[[#This Row],[Edible portion]]) / (10*Table2[[#This Row],[Energy (kcal) per 100g edible portion]]),0)</f>
        <v>1.1263106159895151</v>
      </c>
      <c r="M161" s="45" cm="1">
        <f t="array" ref="M161">SUMPRODUCT((Table2[Category]=Table2[[#This Row],[Category]])*(Table2[[#This Row],[Price per calorie]]&gt;Table2[Price per calorie]))+1</f>
        <v>1</v>
      </c>
      <c r="N161" s="45">
        <f>IF(Table2[[#This Row],[Widely available?]]=FALSE,1,0)</f>
        <v>0</v>
      </c>
      <c r="O161" s="45">
        <f>SUMIFS(Table2[Count false],Table2[Category],Table2[[#This Row],[Category]],Table2[Caloric content2],"&lt;"&amp;Table2[[#This Row],[Caloric content2]])</f>
        <v>0</v>
      </c>
      <c r="P161" s="73">
        <f>IF(Table2[[#This Row],[Widely available?]]=TRUE,Table2[[#This Row],[Caloric content2]]-Table2[[#This Row],[subtract]],0)</f>
        <v>1</v>
      </c>
      <c r="Q161" s="22" t="str">
        <f>IF(Table2[[#This Row],[Final rank]]&gt;0,Table2[[#This Row],[Category]]&amp;Table2[[#This Row],[Final rank]],"")</f>
        <v>Pulses, legumes, beans1</v>
      </c>
    </row>
    <row r="162" spans="2:17" x14ac:dyDescent="0.2">
      <c r="B162" s="22" t="str">
        <f>'Food costs - Input data'!B25</f>
        <v>Pulses, legumes, beans</v>
      </c>
      <c r="C162" s="22" t="str">
        <f>'Food costs - Input data'!C25</f>
        <v>fresh Beans</v>
      </c>
      <c r="D162" s="27">
        <f>COUNTA('Food costs - Input data'!D25:AB25)</f>
        <v>3</v>
      </c>
      <c r="E162" s="27">
        <f>_xlfn.MAXIFS(Table2[Availability],Table2[Category],Table2[[#This Row],[Category]])</f>
        <v>3</v>
      </c>
      <c r="F162" s="27" t="b">
        <f>Table2[[#This Row],[Availability]] &gt;= 0.25*Table2[[#This Row],[Most availble in category]]</f>
        <v>1</v>
      </c>
      <c r="G162" s="27">
        <f>(Table2[[#This Row],[Protein (g)]] * 4 +Table2[[#This Row],[Fat, total (g)]] * 9 + Table2[[#This Row],[Carbohydrate (g)]] *4 )</f>
        <v>39.4</v>
      </c>
      <c r="H162" s="45">
        <f>'Nutritional input'!E44</f>
        <v>2.4</v>
      </c>
      <c r="I162" s="45">
        <f>'Nutritional input'!F44</f>
        <v>0.2</v>
      </c>
      <c r="J162" s="45">
        <f>'Nutritional input'!G44</f>
        <v>7</v>
      </c>
      <c r="K162" s="45">
        <f>'Nutritional input'!H44</f>
        <v>0.8</v>
      </c>
      <c r="L162" s="375">
        <f>IFERROR((_xlfn.XLOOKUP(Table2[[#This Row],[Item]],'Food costs - Input data'!C:C,'Food costs - Input data'!AE:AE)/Table2[[#This Row],[Edible portion]]) / (10*Table2[[#This Row],[Energy (kcal) per 100g edible portion]]),0)</f>
        <v>25.380710659898476</v>
      </c>
      <c r="M162" s="45" cm="1">
        <f t="array" ref="M162">SUMPRODUCT((Table2[Category]=Table2[[#This Row],[Category]])*(Table2[[#This Row],[Price per calorie]]&gt;Table2[Price per calorie]))+1</f>
        <v>5</v>
      </c>
      <c r="N162" s="45">
        <f>IF(Table2[[#This Row],[Widely available?]]=FALSE,1,0)</f>
        <v>0</v>
      </c>
      <c r="O162" s="45">
        <f>SUMIFS(Table2[Count false],Table2[Category],Table2[[#This Row],[Category]],Table2[Caloric content2],"&lt;"&amp;Table2[[#This Row],[Caloric content2]])</f>
        <v>0</v>
      </c>
      <c r="P162" s="73">
        <f>IF(Table2[[#This Row],[Widely available?]]=TRUE,Table2[[#This Row],[Caloric content2]]-Table2[[#This Row],[subtract]],0)</f>
        <v>5</v>
      </c>
      <c r="Q162" s="22" t="str">
        <f>IF(Table2[[#This Row],[Final rank]]&gt;0,Table2[[#This Row],[Category]]&amp;Table2[[#This Row],[Final rank]],"")</f>
        <v>Pulses, legumes, beans5</v>
      </c>
    </row>
    <row r="163" spans="2:17" x14ac:dyDescent="0.2">
      <c r="B163" s="22" t="str">
        <f>'Food costs - Input data'!B26</f>
        <v>Pulses, legumes, beans</v>
      </c>
      <c r="C163" s="22" t="str">
        <f>'Food costs - Input data'!C26</f>
        <v>Peas</v>
      </c>
      <c r="D163" s="27">
        <f>COUNTA('Food costs - Input data'!D26:AB26)</f>
        <v>3</v>
      </c>
      <c r="E163" s="27">
        <f>_xlfn.MAXIFS(Table2[Availability],Table2[Category],Table2[[#This Row],[Category]])</f>
        <v>3</v>
      </c>
      <c r="F163" s="27" t="b">
        <f>Table2[[#This Row],[Availability]] &gt;= 0.25*Table2[[#This Row],[Most availble in category]]</f>
        <v>1</v>
      </c>
      <c r="G163" s="27">
        <f>(Table2[[#This Row],[Protein (g)]] * 4 +Table2[[#This Row],[Fat, total (g)]] * 9 + Table2[[#This Row],[Carbohydrate (g)]] *4 )</f>
        <v>79.599999999999994</v>
      </c>
      <c r="H163" s="45">
        <f>'Nutritional input'!E45</f>
        <v>5</v>
      </c>
      <c r="I163" s="45">
        <f>'Nutritional input'!F45</f>
        <v>0.4</v>
      </c>
      <c r="J163" s="45">
        <f>'Nutritional input'!G45</f>
        <v>14</v>
      </c>
      <c r="K163" s="45">
        <f>'Nutritional input'!H45</f>
        <v>0.8</v>
      </c>
      <c r="L163" s="375">
        <f>IFERROR((_xlfn.XLOOKUP(Table2[[#This Row],[Item]],'Food costs - Input data'!C:C,'Food costs - Input data'!AE:AE)/Table2[[#This Row],[Edible portion]]) / (10*Table2[[#This Row],[Energy (kcal) per 100g edible portion]]),0)</f>
        <v>7.8517587939698492</v>
      </c>
      <c r="M163" s="45" cm="1">
        <f t="array" ref="M163">SUMPRODUCT((Table2[Category]=Table2[[#This Row],[Category]])*(Table2[[#This Row],[Price per calorie]]&gt;Table2[Price per calorie]))+1</f>
        <v>4</v>
      </c>
      <c r="N163" s="45">
        <f>IF(Table2[[#This Row],[Widely available?]]=FALSE,1,0)</f>
        <v>0</v>
      </c>
      <c r="O163" s="45">
        <f>SUMIFS(Table2[Count false],Table2[Category],Table2[[#This Row],[Category]],Table2[Caloric content2],"&lt;"&amp;Table2[[#This Row],[Caloric content2]])</f>
        <v>0</v>
      </c>
      <c r="P163" s="73">
        <f>IF(Table2[[#This Row],[Widely available?]]=TRUE,Table2[[#This Row],[Caloric content2]]-Table2[[#This Row],[subtract]],0)</f>
        <v>4</v>
      </c>
      <c r="Q163" s="22" t="str">
        <f>IF(Table2[[#This Row],[Final rank]]&gt;0,Table2[[#This Row],[Category]]&amp;Table2[[#This Row],[Final rank]],"")</f>
        <v>Pulses, legumes, beans4</v>
      </c>
    </row>
    <row r="164" spans="2:17" x14ac:dyDescent="0.2">
      <c r="B164" s="22" t="str">
        <f>'Food costs - Input data'!B27</f>
        <v>Pulses, legumes, beans</v>
      </c>
      <c r="C164" s="22" t="str">
        <f>'Food costs - Input data'!C27</f>
        <v>Soy</v>
      </c>
      <c r="D164" s="27">
        <f>COUNTA('Food costs - Input data'!D27:AB27)</f>
        <v>3</v>
      </c>
      <c r="E164" s="27">
        <f>_xlfn.MAXIFS(Table2[Availability],Table2[Category],Table2[[#This Row],[Category]])</f>
        <v>3</v>
      </c>
      <c r="F164" s="27" t="b">
        <f>Table2[[#This Row],[Availability]] &gt;= 0.25*Table2[[#This Row],[Most availble in category]]</f>
        <v>1</v>
      </c>
      <c r="G164" s="27">
        <f>(Table2[[#This Row],[Protein (g)]] * 4 +Table2[[#This Row],[Fat, total (g)]] * 9 + Table2[[#This Row],[Carbohydrate (g)]] *4 )</f>
        <v>446</v>
      </c>
      <c r="H164" s="45">
        <f>'Nutritional input'!E46</f>
        <v>36.5</v>
      </c>
      <c r="I164" s="45">
        <f>'Nutritional input'!F46</f>
        <v>20</v>
      </c>
      <c r="J164" s="45">
        <f>'Nutritional input'!G46</f>
        <v>30</v>
      </c>
      <c r="K164" s="45">
        <f>'Nutritional input'!H46</f>
        <v>0.8</v>
      </c>
      <c r="L164" s="375">
        <f>IFERROR((_xlfn.XLOOKUP(Table2[[#This Row],[Item]],'Food costs - Input data'!C:C,'Food costs - Input data'!AE:AE)/Table2[[#This Row],[Edible portion]]) / (10*Table2[[#This Row],[Energy (kcal) per 100g edible portion]]),0)</f>
        <v>1.4013452914798206</v>
      </c>
      <c r="M164" s="45" cm="1">
        <f t="array" ref="M164">SUMPRODUCT((Table2[Category]=Table2[[#This Row],[Category]])*(Table2[[#This Row],[Price per calorie]]&gt;Table2[Price per calorie]))+1</f>
        <v>2</v>
      </c>
      <c r="N164" s="45">
        <f>IF(Table2[[#This Row],[Widely available?]]=FALSE,1,0)</f>
        <v>0</v>
      </c>
      <c r="O164" s="45">
        <f>SUMIFS(Table2[Count false],Table2[Category],Table2[[#This Row],[Category]],Table2[Caloric content2],"&lt;"&amp;Table2[[#This Row],[Caloric content2]])</f>
        <v>0</v>
      </c>
      <c r="P164" s="73">
        <f>IF(Table2[[#This Row],[Widely available?]]=TRUE,Table2[[#This Row],[Caloric content2]]-Table2[[#This Row],[subtract]],0)</f>
        <v>2</v>
      </c>
      <c r="Q164" s="22" t="str">
        <f>IF(Table2[[#This Row],[Final rank]]&gt;0,Table2[[#This Row],[Category]]&amp;Table2[[#This Row],[Final rank]],"")</f>
        <v>Pulses, legumes, beans2</v>
      </c>
    </row>
    <row r="165" spans="2:17" x14ac:dyDescent="0.2">
      <c r="B165" s="22" t="str">
        <f>'Food costs - Input data'!B28</f>
        <v>Pulses, legumes, beans</v>
      </c>
      <c r="C165" s="22" t="str">
        <f>'Food costs - Input data'!C28</f>
        <v>drybeans</v>
      </c>
      <c r="D165" s="27">
        <f>COUNTA('Food costs - Input data'!D28:AB28)</f>
        <v>3</v>
      </c>
      <c r="E165" s="27">
        <f>_xlfn.MAXIFS(Table2[Availability],Table2[Category],Table2[[#This Row],[Category]])</f>
        <v>3</v>
      </c>
      <c r="F165" s="27" t="b">
        <f>Table2[[#This Row],[Availability]] &gt;= 0.25*Table2[[#This Row],[Most availble in category]]</f>
        <v>1</v>
      </c>
      <c r="G165" s="27">
        <f>(Table2[[#This Row],[Protein (g)]] * 4 +Table2[[#This Row],[Fat, total (g)]] * 9 + Table2[[#This Row],[Carbohydrate (g)]] *4 )</f>
        <v>346.8</v>
      </c>
      <c r="H165" s="45">
        <f>'Nutritional input'!E47</f>
        <v>21</v>
      </c>
      <c r="I165" s="45">
        <f>'Nutritional input'!F47</f>
        <v>1.2</v>
      </c>
      <c r="J165" s="45">
        <f>'Nutritional input'!G47</f>
        <v>63</v>
      </c>
      <c r="K165" s="45">
        <f>'Nutritional input'!H47</f>
        <v>0.8</v>
      </c>
      <c r="L165" s="375">
        <f>IFERROR((_xlfn.XLOOKUP(Table2[[#This Row],[Item]],'Food costs - Input data'!C:C,'Food costs - Input data'!AE:AE)/Table2[[#This Row],[Edible portion]]) / (10*Table2[[#This Row],[Energy (kcal) per 100g edible portion]]),0)</f>
        <v>1.6219723183391004</v>
      </c>
      <c r="M165" s="45" cm="1">
        <f t="array" ref="M165">SUMPRODUCT((Table2[Category]=Table2[[#This Row],[Category]])*(Table2[[#This Row],[Price per calorie]]&gt;Table2[Price per calorie]))+1</f>
        <v>3</v>
      </c>
      <c r="N165" s="45">
        <f>IF(Table2[[#This Row],[Widely available?]]=FALSE,1,0)</f>
        <v>0</v>
      </c>
      <c r="O165" s="45">
        <f>SUMIFS(Table2[Count false],Table2[Category],Table2[[#This Row],[Category]],Table2[Caloric content2],"&lt;"&amp;Table2[[#This Row],[Caloric content2]])</f>
        <v>0</v>
      </c>
      <c r="P165" s="73">
        <f>IF(Table2[[#This Row],[Widely available?]]=TRUE,Table2[[#This Row],[Caloric content2]]-Table2[[#This Row],[subtract]],0)</f>
        <v>3</v>
      </c>
      <c r="Q165" s="22" t="str">
        <f>IF(Table2[[#This Row],[Final rank]]&gt;0,Table2[[#This Row],[Category]]&amp;Table2[[#This Row],[Final rank]],"")</f>
        <v>Pulses, legumes, beans3</v>
      </c>
    </row>
    <row r="166" spans="2:17" x14ac:dyDescent="0.2">
      <c r="B166" s="22" t="str">
        <f>'Food costs - Input data'!B29</f>
        <v>Dairy</v>
      </c>
      <c r="C166" s="22" t="str">
        <f>'Food costs - Input data'!C29</f>
        <v>Milk</v>
      </c>
      <c r="D166" s="27">
        <f>COUNTA('Food costs - Input data'!D29:AB29)</f>
        <v>3</v>
      </c>
      <c r="E166" s="27">
        <f>_xlfn.MAXIFS(Table2[Availability],Table2[Category],Table2[[#This Row],[Category]])</f>
        <v>3</v>
      </c>
      <c r="F166" s="27" t="b">
        <f>Table2[[#This Row],[Availability]] &gt;= 0.25*Table2[[#This Row],[Most availble in category]]</f>
        <v>1</v>
      </c>
      <c r="G166" s="27">
        <f>(Table2[[#This Row],[Protein (g)]] * 4 +Table2[[#This Row],[Fat, total (g)]] * 9 + Table2[[#This Row],[Carbohydrate (g)]] *4 )</f>
        <v>63.8</v>
      </c>
      <c r="H166" s="45">
        <f>'Nutritional input'!E48</f>
        <v>3.3</v>
      </c>
      <c r="I166" s="45">
        <f>'Nutritional input'!F48</f>
        <v>3.4</v>
      </c>
      <c r="J166" s="45">
        <f>'Nutritional input'!G48</f>
        <v>5</v>
      </c>
      <c r="K166" s="45">
        <f>'Nutritional input'!H48</f>
        <v>1</v>
      </c>
      <c r="L166" s="375">
        <f>IFERROR((_xlfn.XLOOKUP(Table2[[#This Row],[Item]],'Food costs - Input data'!C:C,'Food costs - Input data'!AE:AE)/Table2[[#This Row],[Edible portion]]) / (10*Table2[[#This Row],[Energy (kcal) per 100g edible portion]]),0)</f>
        <v>4.7021943573667713</v>
      </c>
      <c r="M166" s="45" cm="1">
        <f t="array" ref="M166">SUMPRODUCT((Table2[Category]=Table2[[#This Row],[Category]])*(Table2[[#This Row],[Price per calorie]]&gt;Table2[Price per calorie]))+1</f>
        <v>3</v>
      </c>
      <c r="N166" s="45">
        <f>IF(Table2[[#This Row],[Widely available?]]=FALSE,1,0)</f>
        <v>0</v>
      </c>
      <c r="O166" s="45">
        <f>SUMIFS(Table2[Count false],Table2[Category],Table2[[#This Row],[Category]],Table2[Caloric content2],"&lt;"&amp;Table2[[#This Row],[Caloric content2]])</f>
        <v>0</v>
      </c>
      <c r="P166" s="73">
        <f>IF(Table2[[#This Row],[Widely available?]]=TRUE,Table2[[#This Row],[Caloric content2]]-Table2[[#This Row],[subtract]],0)</f>
        <v>3</v>
      </c>
      <c r="Q166" s="22" t="str">
        <f>IF(Table2[[#This Row],[Final rank]]&gt;0,Table2[[#This Row],[Category]]&amp;Table2[[#This Row],[Final rank]],"")</f>
        <v>Dairy3</v>
      </c>
    </row>
    <row r="167" spans="2:17" x14ac:dyDescent="0.2">
      <c r="B167" s="22" t="str">
        <f>'Food costs - Input data'!B30</f>
        <v>Dairy</v>
      </c>
      <c r="C167" s="22" t="str">
        <f>'Food costs - Input data'!C30</f>
        <v>Youghurt</v>
      </c>
      <c r="D167" s="27">
        <f>COUNTA('Food costs - Input data'!D30:AB30)</f>
        <v>3</v>
      </c>
      <c r="E167" s="27">
        <f>_xlfn.MAXIFS(Table2[Availability],Table2[Category],Table2[[#This Row],[Category]])</f>
        <v>3</v>
      </c>
      <c r="F167" s="27" t="b">
        <f>Table2[[#This Row],[Availability]] &gt;= 0.25*Table2[[#This Row],[Most availble in category]]</f>
        <v>1</v>
      </c>
      <c r="G167" s="27">
        <f>(Table2[[#This Row],[Protein (g)]] * 4 +Table2[[#This Row],[Fat, total (g)]] * 9 + Table2[[#This Row],[Carbohydrate (g)]] *4 )</f>
        <v>62.5</v>
      </c>
      <c r="H167" s="45">
        <f>'Nutritional input'!E49</f>
        <v>3.5</v>
      </c>
      <c r="I167" s="45">
        <f>'Nutritional input'!F49</f>
        <v>3.3</v>
      </c>
      <c r="J167" s="45">
        <f>'Nutritional input'!G49</f>
        <v>4.7</v>
      </c>
      <c r="K167" s="45">
        <f>'Nutritional input'!H49</f>
        <v>0.9</v>
      </c>
      <c r="L167" s="375">
        <f>IFERROR((_xlfn.XLOOKUP(Table2[[#This Row],[Item]],'Food costs - Input data'!C:C,'Food costs - Input data'!AE:AE)/Table2[[#This Row],[Edible portion]]) / (10*Table2[[#This Row],[Energy (kcal) per 100g edible portion]]),0)</f>
        <v>2.6666666666666665</v>
      </c>
      <c r="M167" s="45" cm="1">
        <f t="array" ref="M167">SUMPRODUCT((Table2[Category]=Table2[[#This Row],[Category]])*(Table2[[#This Row],[Price per calorie]]&gt;Table2[Price per calorie]))+1</f>
        <v>2</v>
      </c>
      <c r="N167" s="45">
        <f>IF(Table2[[#This Row],[Widely available?]]=FALSE,1,0)</f>
        <v>0</v>
      </c>
      <c r="O167" s="45">
        <f>SUMIFS(Table2[Count false],Table2[Category],Table2[[#This Row],[Category]],Table2[Caloric content2],"&lt;"&amp;Table2[[#This Row],[Caloric content2]])</f>
        <v>0</v>
      </c>
      <c r="P167" s="73">
        <f>IF(Table2[[#This Row],[Widely available?]]=TRUE,Table2[[#This Row],[Caloric content2]]-Table2[[#This Row],[subtract]],0)</f>
        <v>2</v>
      </c>
      <c r="Q167" s="22" t="str">
        <f>IF(Table2[[#This Row],[Final rank]]&gt;0,Table2[[#This Row],[Category]]&amp;Table2[[#This Row],[Final rank]],"")</f>
        <v>Dairy2</v>
      </c>
    </row>
    <row r="168" spans="2:17" x14ac:dyDescent="0.2">
      <c r="B168" s="22" t="str">
        <f>'Food costs - Input data'!B31</f>
        <v>Dairy</v>
      </c>
      <c r="C168" s="22" t="str">
        <f>'Food costs - Input data'!C31</f>
        <v>Butter</v>
      </c>
      <c r="D168" s="27">
        <f>COUNTA('Food costs - Input data'!D31:AB31)</f>
        <v>3</v>
      </c>
      <c r="E168" s="27">
        <f>_xlfn.MAXIFS(Table2[Availability],Table2[Category],Table2[[#This Row],[Category]])</f>
        <v>3</v>
      </c>
      <c r="F168" s="27" t="b">
        <f>Table2[[#This Row],[Availability]] &gt;= 0.25*Table2[[#This Row],[Most availble in category]]</f>
        <v>1</v>
      </c>
      <c r="G168" s="27">
        <f>(Table2[[#This Row],[Protein (g)]] * 4 +Table2[[#This Row],[Fat, total (g)]] * 9 + Table2[[#This Row],[Carbohydrate (g)]] *4 )</f>
        <v>733</v>
      </c>
      <c r="H168" s="45">
        <f>'Nutritional input'!E50</f>
        <v>0.9</v>
      </c>
      <c r="I168" s="45">
        <f>'Nutritional input'!F50</f>
        <v>81</v>
      </c>
      <c r="J168" s="45">
        <f>'Nutritional input'!G50</f>
        <v>0.1</v>
      </c>
      <c r="K168" s="45">
        <f>'Nutritional input'!H50</f>
        <v>0.9</v>
      </c>
      <c r="L168" s="375">
        <f>IFERROR((_xlfn.XLOOKUP(Table2[[#This Row],[Item]],'Food costs - Input data'!C:C,'Food costs - Input data'!AE:AE)/Table2[[#This Row],[Edible portion]]) / (10*Table2[[#This Row],[Energy (kcal) per 100g edible portion]]),0)</f>
        <v>0.90950432014552063</v>
      </c>
      <c r="M168" s="45" cm="1">
        <f t="array" ref="M168">SUMPRODUCT((Table2[Category]=Table2[[#This Row],[Category]])*(Table2[[#This Row],[Price per calorie]]&gt;Table2[Price per calorie]))+1</f>
        <v>1</v>
      </c>
      <c r="N168" s="45">
        <f>IF(Table2[[#This Row],[Widely available?]]=FALSE,1,0)</f>
        <v>0</v>
      </c>
      <c r="O168" s="45">
        <f>SUMIFS(Table2[Count false],Table2[Category],Table2[[#This Row],[Category]],Table2[Caloric content2],"&lt;"&amp;Table2[[#This Row],[Caloric content2]])</f>
        <v>0</v>
      </c>
      <c r="P168" s="73">
        <f>IF(Table2[[#This Row],[Widely available?]]=TRUE,Table2[[#This Row],[Caloric content2]]-Table2[[#This Row],[subtract]],0)</f>
        <v>1</v>
      </c>
      <c r="Q168" s="22" t="str">
        <f>IF(Table2[[#This Row],[Final rank]]&gt;0,Table2[[#This Row],[Category]]&amp;Table2[[#This Row],[Final rank]],"")</f>
        <v>Dairy1</v>
      </c>
    </row>
    <row r="169" spans="2:17" x14ac:dyDescent="0.2">
      <c r="B169" s="22" t="str">
        <f>'Food costs - Input data'!B32</f>
        <v>Eggs</v>
      </c>
      <c r="C169" s="22" t="str">
        <f>'Food costs - Input data'!C32</f>
        <v>Eggs</v>
      </c>
      <c r="D169" s="27">
        <f>COUNTA('Food costs - Input data'!D32:AB32)</f>
        <v>3</v>
      </c>
      <c r="E169" s="27">
        <f>_xlfn.MAXIFS(Table2[Availability],Table2[Category],Table2[[#This Row],[Category]])</f>
        <v>3</v>
      </c>
      <c r="F169" s="27" t="b">
        <f>Table2[[#This Row],[Availability]] &gt;= 0.25*Table2[[#This Row],[Most availble in category]]</f>
        <v>1</v>
      </c>
      <c r="G169" s="27">
        <f>(Table2[[#This Row],[Protein (g)]] * 4 +Table2[[#This Row],[Fat, total (g)]] * 9 + Table2[[#This Row],[Carbohydrate (g)]] *4 )</f>
        <v>155.4</v>
      </c>
      <c r="H169" s="45">
        <f>'Nutritional input'!E51</f>
        <v>13</v>
      </c>
      <c r="I169" s="45">
        <f>'Nutritional input'!F51</f>
        <v>11</v>
      </c>
      <c r="J169" s="45">
        <f>'Nutritional input'!G51</f>
        <v>1.1000000000000001</v>
      </c>
      <c r="K169" s="45">
        <f>'Nutritional input'!H51</f>
        <v>0.9</v>
      </c>
      <c r="L169" s="375">
        <f>IFERROR((_xlfn.XLOOKUP(Table2[[#This Row],[Item]],'Food costs - Input data'!C:C,'Food costs - Input data'!AE:AE)/Table2[[#This Row],[Edible portion]]) / (10*Table2[[#This Row],[Energy (kcal) per 100g edible portion]]),0)</f>
        <v>8.5800085800085792</v>
      </c>
      <c r="M169" s="45" cm="1">
        <f t="array" ref="M169">SUMPRODUCT((Table2[Category]=Table2[[#This Row],[Category]])*(Table2[[#This Row],[Price per calorie]]&gt;Table2[Price per calorie]))+1</f>
        <v>1</v>
      </c>
      <c r="N169" s="45">
        <f>IF(Table2[[#This Row],[Widely available?]]=FALSE,1,0)</f>
        <v>0</v>
      </c>
      <c r="O169" s="45">
        <f>SUMIFS(Table2[Count false],Table2[Category],Table2[[#This Row],[Category]],Table2[Caloric content2],"&lt;"&amp;Table2[[#This Row],[Caloric content2]])</f>
        <v>0</v>
      </c>
      <c r="P169" s="73">
        <f>IF(Table2[[#This Row],[Widely available?]]=TRUE,Table2[[#This Row],[Caloric content2]]-Table2[[#This Row],[subtract]],0)</f>
        <v>1</v>
      </c>
      <c r="Q169" s="22" t="str">
        <f>IF(Table2[[#This Row],[Final rank]]&gt;0,Table2[[#This Row],[Category]]&amp;Table2[[#This Row],[Final rank]],"")</f>
        <v>Eggs1</v>
      </c>
    </row>
    <row r="170" spans="2:17" x14ac:dyDescent="0.2">
      <c r="B170" s="22" t="str">
        <f>'Food costs - Input data'!B33</f>
        <v>Eggs</v>
      </c>
      <c r="C170" s="22" t="str">
        <f>'Food costs - Input data'!C33</f>
        <v>Eggs</v>
      </c>
      <c r="D170" s="27">
        <f>COUNTA('Food costs - Input data'!D33:AB33)</f>
        <v>3</v>
      </c>
      <c r="E170" s="27">
        <f>_xlfn.MAXIFS(Table2[Availability],Table2[Category],Table2[[#This Row],[Category]])</f>
        <v>3</v>
      </c>
      <c r="F170" s="27" t="b">
        <f>Table2[[#This Row],[Availability]] &gt;= 0.25*Table2[[#This Row],[Most availble in category]]</f>
        <v>1</v>
      </c>
      <c r="G170" s="27">
        <f>(Table2[[#This Row],[Protein (g)]] * 4 +Table2[[#This Row],[Fat, total (g)]] * 9 + Table2[[#This Row],[Carbohydrate (g)]] *4 )</f>
        <v>155.4</v>
      </c>
      <c r="H170" s="45">
        <f>'Nutritional input'!E52</f>
        <v>13</v>
      </c>
      <c r="I170" s="45">
        <f>'Nutritional input'!F52</f>
        <v>11</v>
      </c>
      <c r="J170" s="45">
        <f>'Nutritional input'!G52</f>
        <v>1.1000000000000001</v>
      </c>
      <c r="K170" s="45">
        <f>'Nutritional input'!H52</f>
        <v>0.9</v>
      </c>
      <c r="L170" s="375">
        <f>IFERROR((_xlfn.XLOOKUP(Table2[[#This Row],[Item]],'Food costs - Input data'!C:C,'Food costs - Input data'!AE:AE)/Table2[[#This Row],[Edible portion]]) / (10*Table2[[#This Row],[Energy (kcal) per 100g edible portion]]),0)</f>
        <v>8.5800085800085792</v>
      </c>
      <c r="M170" s="45" cm="1">
        <f t="array" ref="M170">SUMPRODUCT((Table2[Category]=Table2[[#This Row],[Category]])*(Table2[[#This Row],[Price per calorie]]&gt;Table2[Price per calorie]))+1</f>
        <v>1</v>
      </c>
      <c r="N170" s="45">
        <f>IF(Table2[[#This Row],[Widely available?]]=FALSE,1,0)</f>
        <v>0</v>
      </c>
      <c r="O170" s="45">
        <f>SUMIFS(Table2[Count false],Table2[Category],Table2[[#This Row],[Category]],Table2[Caloric content2],"&lt;"&amp;Table2[[#This Row],[Caloric content2]])</f>
        <v>0</v>
      </c>
      <c r="P170" s="73">
        <f>IF(Table2[[#This Row],[Widely available?]]=TRUE,Table2[[#This Row],[Caloric content2]]-Table2[[#This Row],[subtract]],0)</f>
        <v>1</v>
      </c>
      <c r="Q170" s="22" t="str">
        <f>IF(Table2[[#This Row],[Final rank]]&gt;0,Table2[[#This Row],[Category]]&amp;Table2[[#This Row],[Final rank]],"")</f>
        <v>Eggs1</v>
      </c>
    </row>
    <row r="171" spans="2:17" x14ac:dyDescent="0.2">
      <c r="B171" s="22" t="str">
        <f>'Food costs - Input data'!B34</f>
        <v>Eggs</v>
      </c>
      <c r="C171" s="22" t="str">
        <f>'Food costs - Input data'!C34</f>
        <v>Eggs</v>
      </c>
      <c r="D171" s="27">
        <f>COUNTA('Food costs - Input data'!D34:AB34)</f>
        <v>3</v>
      </c>
      <c r="E171" s="27">
        <f>_xlfn.MAXIFS(Table2[Availability],Table2[Category],Table2[[#This Row],[Category]])</f>
        <v>3</v>
      </c>
      <c r="F171" s="27" t="b">
        <f>Table2[[#This Row],[Availability]] &gt;= 0.25*Table2[[#This Row],[Most availble in category]]</f>
        <v>1</v>
      </c>
      <c r="G171" s="27">
        <f>(Table2[[#This Row],[Protein (g)]] * 4 +Table2[[#This Row],[Fat, total (g)]] * 9 + Table2[[#This Row],[Carbohydrate (g)]] *4 )</f>
        <v>155.4</v>
      </c>
      <c r="H171" s="45">
        <f>'Nutritional input'!E53</f>
        <v>13</v>
      </c>
      <c r="I171" s="45">
        <f>'Nutritional input'!F53</f>
        <v>11</v>
      </c>
      <c r="J171" s="45">
        <f>'Nutritional input'!G53</f>
        <v>1.1000000000000001</v>
      </c>
      <c r="K171" s="45">
        <f>'Nutritional input'!H53</f>
        <v>0.6</v>
      </c>
      <c r="L171" s="375">
        <f>IFERROR((_xlfn.XLOOKUP(Table2[[#This Row],[Item]],'Food costs - Input data'!C:C,'Food costs - Input data'!AE:AE)/Table2[[#This Row],[Edible portion]]) / (10*Table2[[#This Row],[Energy (kcal) per 100g edible portion]]),0)</f>
        <v>12.87001287001287</v>
      </c>
      <c r="M171" s="45" cm="1">
        <f t="array" ref="M171">SUMPRODUCT((Table2[Category]=Table2[[#This Row],[Category]])*(Table2[[#This Row],[Price per calorie]]&gt;Table2[Price per calorie]))+1</f>
        <v>3</v>
      </c>
      <c r="N171" s="45">
        <f>IF(Table2[[#This Row],[Widely available?]]=FALSE,1,0)</f>
        <v>0</v>
      </c>
      <c r="O171" s="45">
        <f>SUMIFS(Table2[Count false],Table2[Category],Table2[[#This Row],[Category]],Table2[Caloric content2],"&lt;"&amp;Table2[[#This Row],[Caloric content2]])</f>
        <v>0</v>
      </c>
      <c r="P171" s="73">
        <f>IF(Table2[[#This Row],[Widely available?]]=TRUE,Table2[[#This Row],[Caloric content2]]-Table2[[#This Row],[subtract]],0)</f>
        <v>3</v>
      </c>
      <c r="Q171" s="22" t="str">
        <f>IF(Table2[[#This Row],[Final rank]]&gt;0,Table2[[#This Row],[Category]]&amp;Table2[[#This Row],[Final rank]],"")</f>
        <v>Eggs3</v>
      </c>
    </row>
    <row r="172" spans="2:17" x14ac:dyDescent="0.2">
      <c r="B172" s="22" t="str">
        <f>'Food costs - Input data'!B35</f>
        <v>Meats</v>
      </c>
      <c r="C172" s="22" t="str">
        <f>'Food costs - Input data'!C35</f>
        <v>Chicken</v>
      </c>
      <c r="D172" s="27">
        <f>COUNTA('Food costs - Input data'!D35:AB35)</f>
        <v>3</v>
      </c>
      <c r="E172" s="27">
        <f>_xlfn.MAXIFS(Table2[Availability],Table2[Category],Table2[[#This Row],[Category]])</f>
        <v>3</v>
      </c>
      <c r="F172" s="27" t="b">
        <f>Table2[[#This Row],[Availability]] &gt;= 0.25*Table2[[#This Row],[Most availble in category]]</f>
        <v>1</v>
      </c>
      <c r="G172" s="27">
        <f>(Table2[[#This Row],[Protein (g)]] * 4 +Table2[[#This Row],[Fat, total (g)]] * 9 + Table2[[#This Row],[Carbohydrate (g)]] *4 )</f>
        <v>234</v>
      </c>
      <c r="H172" s="45">
        <f>'Nutritional input'!E54</f>
        <v>27</v>
      </c>
      <c r="I172" s="45">
        <f>'Nutritional input'!F54</f>
        <v>14</v>
      </c>
      <c r="J172" s="45">
        <f>'Nutritional input'!G54</f>
        <v>0</v>
      </c>
      <c r="K172" s="45">
        <f>'Nutritional input'!H54</f>
        <v>0.6</v>
      </c>
      <c r="L172" s="375">
        <f>IFERROR((_xlfn.XLOOKUP(Table2[[#This Row],[Item]],'Food costs - Input data'!C:C,'Food costs - Input data'!AE:AE)/Table2[[#This Row],[Edible portion]]) / (10*Table2[[#This Row],[Energy (kcal) per 100g edible portion]]),0)</f>
        <v>24.928774928774931</v>
      </c>
      <c r="M172" s="45" cm="1">
        <f t="array" ref="M172">SUMPRODUCT((Table2[Category]=Table2[[#This Row],[Category]])*(Table2[[#This Row],[Price per calorie]]&gt;Table2[Price per calorie]))+1</f>
        <v>2</v>
      </c>
      <c r="N172" s="45">
        <f>IF(Table2[[#This Row],[Widely available?]]=FALSE,1,0)</f>
        <v>0</v>
      </c>
      <c r="O172" s="45">
        <f>SUMIFS(Table2[Count false],Table2[Category],Table2[[#This Row],[Category]],Table2[Caloric content2],"&lt;"&amp;Table2[[#This Row],[Caloric content2]])</f>
        <v>0</v>
      </c>
      <c r="P172" s="73">
        <f>IF(Table2[[#This Row],[Widely available?]]=TRUE,Table2[[#This Row],[Caloric content2]]-Table2[[#This Row],[subtract]],0)</f>
        <v>2</v>
      </c>
      <c r="Q172" s="22" t="str">
        <f>IF(Table2[[#This Row],[Final rank]]&gt;0,Table2[[#This Row],[Category]]&amp;Table2[[#This Row],[Final rank]],"")</f>
        <v>Meats2</v>
      </c>
    </row>
    <row r="173" spans="2:17" x14ac:dyDescent="0.2">
      <c r="B173" s="22" t="str">
        <f>'Food costs - Input data'!B36</f>
        <v>Meats</v>
      </c>
      <c r="C173" s="22" t="str">
        <f>'Food costs - Input data'!C36</f>
        <v>beef</v>
      </c>
      <c r="D173" s="27">
        <f>COUNTA('Food costs - Input data'!D36:AB36)</f>
        <v>3</v>
      </c>
      <c r="E173" s="27">
        <f>_xlfn.MAXIFS(Table2[Availability],Table2[Category],Table2[[#This Row],[Category]])</f>
        <v>3</v>
      </c>
      <c r="F173" s="27" t="b">
        <f>Table2[[#This Row],[Availability]] &gt;= 0.25*Table2[[#This Row],[Most availble in category]]</f>
        <v>1</v>
      </c>
      <c r="G173" s="27">
        <f>(Table2[[#This Row],[Protein (g)]] * 4 +Table2[[#This Row],[Fat, total (g)]] * 9 + Table2[[#This Row],[Carbohydrate (g)]] *4 )</f>
        <v>239</v>
      </c>
      <c r="H173" s="45">
        <f>'Nutritional input'!E55</f>
        <v>26</v>
      </c>
      <c r="I173" s="45">
        <f>'Nutritional input'!F55</f>
        <v>15</v>
      </c>
      <c r="J173" s="45">
        <f>'Nutritional input'!G55</f>
        <v>0</v>
      </c>
      <c r="K173" s="45">
        <f>'Nutritional input'!H55</f>
        <v>0.6</v>
      </c>
      <c r="L173" s="375">
        <f>IFERROR((_xlfn.XLOOKUP(Table2[[#This Row],[Item]],'Food costs - Input data'!C:C,'Food costs - Input data'!AE:AE)/Table2[[#This Row],[Edible portion]]) / (10*Table2[[#This Row],[Energy (kcal) per 100g edible portion]]),0)</f>
        <v>13.249651324965132</v>
      </c>
      <c r="M173" s="45" cm="1">
        <f t="array" ref="M173">SUMPRODUCT((Table2[Category]=Table2[[#This Row],[Category]])*(Table2[[#This Row],[Price per calorie]]&gt;Table2[Price per calorie]))+1</f>
        <v>1</v>
      </c>
      <c r="N173" s="45">
        <f>IF(Table2[[#This Row],[Widely available?]]=FALSE,1,0)</f>
        <v>0</v>
      </c>
      <c r="O173" s="45">
        <f>SUMIFS(Table2[Count false],Table2[Category],Table2[[#This Row],[Category]],Table2[Caloric content2],"&lt;"&amp;Table2[[#This Row],[Caloric content2]])</f>
        <v>0</v>
      </c>
      <c r="P173" s="73">
        <f>IF(Table2[[#This Row],[Widely available?]]=TRUE,Table2[[#This Row],[Caloric content2]]-Table2[[#This Row],[subtract]],0)</f>
        <v>1</v>
      </c>
      <c r="Q173" s="22" t="str">
        <f>IF(Table2[[#This Row],[Final rank]]&gt;0,Table2[[#This Row],[Category]]&amp;Table2[[#This Row],[Final rank]],"")</f>
        <v>Meats1</v>
      </c>
    </row>
    <row r="174" spans="2:17" x14ac:dyDescent="0.2">
      <c r="B174" s="22" t="str">
        <f>'Food costs - Input data'!B37</f>
        <v>Meats</v>
      </c>
      <c r="C174" s="22" t="str">
        <f>'Food costs - Input data'!C37</f>
        <v>Goat/Chevon</v>
      </c>
      <c r="D174" s="27">
        <f>COUNTA('Food costs - Input data'!D37:AB37)</f>
        <v>3</v>
      </c>
      <c r="E174" s="27">
        <f>_xlfn.MAXIFS(Table2[Availability],Table2[Category],Table2[[#This Row],[Category]])</f>
        <v>3</v>
      </c>
      <c r="F174" s="27" t="b">
        <f>Table2[[#This Row],[Availability]] &gt;= 0.25*Table2[[#This Row],[Most availble in category]]</f>
        <v>1</v>
      </c>
      <c r="G174" s="27">
        <f>(Table2[[#This Row],[Protein (g)]] * 4 +Table2[[#This Row],[Fat, total (g)]] * 9 + Table2[[#This Row],[Carbohydrate (g)]] *4 )</f>
        <v>135</v>
      </c>
      <c r="H174" s="45">
        <f>'Nutritional input'!E56</f>
        <v>27</v>
      </c>
      <c r="I174" s="45">
        <f>'Nutritional input'!F56</f>
        <v>3</v>
      </c>
      <c r="J174" s="45">
        <f>'Nutritional input'!G56</f>
        <v>0</v>
      </c>
      <c r="K174" s="45">
        <f>'Nutritional input'!H56</f>
        <v>0.6</v>
      </c>
      <c r="L174" s="375">
        <f>IFERROR((_xlfn.XLOOKUP(Table2[[#This Row],[Item]],'Food costs - Input data'!C:C,'Food costs - Input data'!AE:AE)/Table2[[#This Row],[Edible portion]]) / (10*Table2[[#This Row],[Energy (kcal) per 100g edible portion]]),0)</f>
        <v>30.8641975308642</v>
      </c>
      <c r="M174" s="45" cm="1">
        <f t="array" ref="M174">SUMPRODUCT((Table2[Category]=Table2[[#This Row],[Category]])*(Table2[[#This Row],[Price per calorie]]&gt;Table2[Price per calorie]))+1</f>
        <v>3</v>
      </c>
      <c r="N174" s="45">
        <f>IF(Table2[[#This Row],[Widely available?]]=FALSE,1,0)</f>
        <v>0</v>
      </c>
      <c r="O174" s="45">
        <f>SUMIFS(Table2[Count false],Table2[Category],Table2[[#This Row],[Category]],Table2[Caloric content2],"&lt;"&amp;Table2[[#This Row],[Caloric content2]])</f>
        <v>0</v>
      </c>
      <c r="P174" s="73">
        <f>IF(Table2[[#This Row],[Widely available?]]=TRUE,Table2[[#This Row],[Caloric content2]]-Table2[[#This Row],[subtract]],0)</f>
        <v>3</v>
      </c>
      <c r="Q174" s="22" t="str">
        <f>IF(Table2[[#This Row],[Final rank]]&gt;0,Table2[[#This Row],[Category]]&amp;Table2[[#This Row],[Final rank]],"")</f>
        <v>Meats3</v>
      </c>
    </row>
    <row r="175" spans="2:17" x14ac:dyDescent="0.2">
      <c r="B175" s="22" t="str">
        <f>'Food costs - Input data'!B38</f>
        <v>Fish</v>
      </c>
      <c r="C175" s="22" t="str">
        <f>'Food costs - Input data'!C38</f>
        <v>Ngege Fresh</v>
      </c>
      <c r="D175" s="27">
        <f>COUNTA('Food costs - Input data'!D38:AB38)</f>
        <v>3</v>
      </c>
      <c r="E175" s="27">
        <f>_xlfn.MAXIFS(Table2[Availability],Table2[Category],Table2[[#This Row],[Category]])</f>
        <v>3</v>
      </c>
      <c r="F175" s="27" t="b">
        <f>Table2[[#This Row],[Availability]] &gt;= 0.25*Table2[[#This Row],[Most availble in category]]</f>
        <v>1</v>
      </c>
      <c r="G175" s="27">
        <f>(Table2[[#This Row],[Protein (g)]] * 4 +Table2[[#This Row],[Fat, total (g)]] * 9 + Table2[[#This Row],[Carbohydrate (g)]] *4 )</f>
        <v>95.7</v>
      </c>
      <c r="H175" s="45">
        <f>'Nutritional input'!E57</f>
        <v>20.100000000000001</v>
      </c>
      <c r="I175" s="45">
        <f>'Nutritional input'!F57</f>
        <v>1.7</v>
      </c>
      <c r="J175" s="45">
        <f>'Nutritional input'!G57</f>
        <v>0</v>
      </c>
      <c r="K175" s="45">
        <f>'Nutritional input'!H57</f>
        <v>0.6</v>
      </c>
      <c r="L175" s="375">
        <f>IFERROR((_xlfn.XLOOKUP(Table2[[#This Row],[Item]],'Food costs - Input data'!C:C,'Food costs - Input data'!AE:AE)/Table2[[#This Row],[Edible portion]]) / (10*Table2[[#This Row],[Energy (kcal) per 100g edible portion]]),0)</f>
        <v>17.41553465691397</v>
      </c>
      <c r="M175" s="45" cm="1">
        <f t="array" ref="M175">SUMPRODUCT((Table2[Category]=Table2[[#This Row],[Category]])*(Table2[[#This Row],[Price per calorie]]&gt;Table2[Price per calorie]))+1</f>
        <v>3</v>
      </c>
      <c r="N175" s="45">
        <f>IF(Table2[[#This Row],[Widely available?]]=FALSE,1,0)</f>
        <v>0</v>
      </c>
      <c r="O175" s="45">
        <f>SUMIFS(Table2[Count false],Table2[Category],Table2[[#This Row],[Category]],Table2[Caloric content2],"&lt;"&amp;Table2[[#This Row],[Caloric content2]])</f>
        <v>0</v>
      </c>
      <c r="P175" s="73">
        <f>IF(Table2[[#This Row],[Widely available?]]=TRUE,Table2[[#This Row],[Caloric content2]]-Table2[[#This Row],[subtract]],0)</f>
        <v>3</v>
      </c>
      <c r="Q175" s="22" t="str">
        <f>IF(Table2[[#This Row],[Final rank]]&gt;0,Table2[[#This Row],[Category]]&amp;Table2[[#This Row],[Final rank]],"")</f>
        <v>Fish3</v>
      </c>
    </row>
    <row r="176" spans="2:17" x14ac:dyDescent="0.2">
      <c r="B176" s="22" t="str">
        <f>'Food costs - Input data'!B39</f>
        <v>Fish</v>
      </c>
      <c r="C176" s="22" t="str">
        <f>'Food costs - Input data'!C39</f>
        <v>Mpuuta</v>
      </c>
      <c r="D176" s="27">
        <f>COUNTA('Food costs - Input data'!D39:AB39)</f>
        <v>3</v>
      </c>
      <c r="E176" s="27">
        <f>_xlfn.MAXIFS(Table2[Availability],Table2[Category],Table2[[#This Row],[Category]])</f>
        <v>3</v>
      </c>
      <c r="F176" s="27" t="b">
        <f>Table2[[#This Row],[Availability]] &gt;= 0.25*Table2[[#This Row],[Most availble in category]]</f>
        <v>1</v>
      </c>
      <c r="G176" s="27">
        <f>(Table2[[#This Row],[Protein (g)]] * 4 +Table2[[#This Row],[Fat, total (g)]] * 9 + Table2[[#This Row],[Carbohydrate (g)]] *4 )</f>
        <v>98.2</v>
      </c>
      <c r="H176" s="45">
        <f>'Nutritional input'!E58</f>
        <v>20.5</v>
      </c>
      <c r="I176" s="45">
        <f>'Nutritional input'!F58</f>
        <v>1.8</v>
      </c>
      <c r="J176" s="45">
        <f>'Nutritional input'!G58</f>
        <v>0</v>
      </c>
      <c r="K176" s="45">
        <f>'Nutritional input'!H58</f>
        <v>0.6</v>
      </c>
      <c r="L176" s="375">
        <f>IFERROR((_xlfn.XLOOKUP(Table2[[#This Row],[Item]],'Food costs - Input data'!C:C,'Food costs - Input data'!AE:AE)/Table2[[#This Row],[Edible portion]]) / (10*Table2[[#This Row],[Energy (kcal) per 100g edible portion]]),0)</f>
        <v>59.402579769178551</v>
      </c>
      <c r="M176" s="45" cm="1">
        <f t="array" ref="M176">SUMPRODUCT((Table2[Category]=Table2[[#This Row],[Category]])*(Table2[[#This Row],[Price per calorie]]&gt;Table2[Price per calorie]))+1</f>
        <v>4</v>
      </c>
      <c r="N176" s="45">
        <f>IF(Table2[[#This Row],[Widely available?]]=FALSE,1,0)</f>
        <v>0</v>
      </c>
      <c r="O176" s="45">
        <f>SUMIFS(Table2[Count false],Table2[Category],Table2[[#This Row],[Category]],Table2[Caloric content2],"&lt;"&amp;Table2[[#This Row],[Caloric content2]])</f>
        <v>0</v>
      </c>
      <c r="P176" s="73">
        <f>IF(Table2[[#This Row],[Widely available?]]=TRUE,Table2[[#This Row],[Caloric content2]]-Table2[[#This Row],[subtract]],0)</f>
        <v>4</v>
      </c>
      <c r="Q176" s="22" t="str">
        <f>IF(Table2[[#This Row],[Final rank]]&gt;0,Table2[[#This Row],[Category]]&amp;Table2[[#This Row],[Final rank]],"")</f>
        <v>Fish4</v>
      </c>
    </row>
    <row r="177" spans="2:17" x14ac:dyDescent="0.2">
      <c r="B177" s="22" t="str">
        <f>'Food costs - Input data'!B40</f>
        <v>Fish</v>
      </c>
      <c r="C177" s="22" t="str">
        <f>'Food costs - Input data'!C40</f>
        <v>Mukene</v>
      </c>
      <c r="D177" s="27">
        <f>COUNTA('Food costs - Input data'!D40:AB40)</f>
        <v>3</v>
      </c>
      <c r="E177" s="27">
        <f>_xlfn.MAXIFS(Table2[Availability],Table2[Category],Table2[[#This Row],[Category]])</f>
        <v>3</v>
      </c>
      <c r="F177" s="27" t="b">
        <f>Table2[[#This Row],[Availability]] &gt;= 0.25*Table2[[#This Row],[Most availble in category]]</f>
        <v>1</v>
      </c>
      <c r="G177" s="27">
        <f>(Table2[[#This Row],[Protein (g)]] * 4 +Table2[[#This Row],[Fat, total (g)]] * 9 + Table2[[#This Row],[Carbohydrate (g)]] *4 )</f>
        <v>336</v>
      </c>
      <c r="H177" s="45">
        <f>'Nutritional input'!E59</f>
        <v>57</v>
      </c>
      <c r="I177" s="45">
        <f>'Nutritional input'!F59</f>
        <v>12</v>
      </c>
      <c r="J177" s="45">
        <f>'Nutritional input'!G59</f>
        <v>0</v>
      </c>
      <c r="K177" s="45">
        <f>'Nutritional input'!H59</f>
        <v>0.6</v>
      </c>
      <c r="L177" s="375">
        <f>IFERROR((_xlfn.XLOOKUP(Table2[[#This Row],[Item]],'Food costs - Input data'!C:C,'Food costs - Input data'!AE:AE)/Table2[[#This Row],[Edible portion]]) / (10*Table2[[#This Row],[Energy (kcal) per 100g edible portion]]),0)</f>
        <v>0.49603174603174605</v>
      </c>
      <c r="M177" s="45" cm="1">
        <f t="array" ref="M177">SUMPRODUCT((Table2[Category]=Table2[[#This Row],[Category]])*(Table2[[#This Row],[Price per calorie]]&gt;Table2[Price per calorie]))+1</f>
        <v>1</v>
      </c>
      <c r="N177" s="45">
        <f>IF(Table2[[#This Row],[Widely available?]]=FALSE,1,0)</f>
        <v>0</v>
      </c>
      <c r="O177" s="45">
        <f>SUMIFS(Table2[Count false],Table2[Category],Table2[[#This Row],[Category]],Table2[Caloric content2],"&lt;"&amp;Table2[[#This Row],[Caloric content2]])</f>
        <v>0</v>
      </c>
      <c r="P177" s="73">
        <f>IF(Table2[[#This Row],[Widely available?]]=TRUE,Table2[[#This Row],[Caloric content2]]-Table2[[#This Row],[subtract]],0)</f>
        <v>1</v>
      </c>
      <c r="Q177" s="22" t="str">
        <f>IF(Table2[[#This Row],[Final rank]]&gt;0,Table2[[#This Row],[Category]]&amp;Table2[[#This Row],[Final rank]],"")</f>
        <v>Fish1</v>
      </c>
    </row>
    <row r="178" spans="2:17" x14ac:dyDescent="0.2">
      <c r="B178" s="22" t="str">
        <f>'Food costs - Input data'!B41</f>
        <v>Fish</v>
      </c>
      <c r="C178" s="22" t="str">
        <f>'Food costs - Input data'!C41</f>
        <v>Ngege Dried</v>
      </c>
      <c r="D178" s="27">
        <f>COUNTA('Food costs - Input data'!D41:AB41)</f>
        <v>3</v>
      </c>
      <c r="E178" s="27">
        <f>_xlfn.MAXIFS(Table2[Availability],Table2[Category],Table2[[#This Row],[Category]])</f>
        <v>3</v>
      </c>
      <c r="F178" s="27" t="b">
        <f>Table2[[#This Row],[Availability]] &gt;= 0.25*Table2[[#This Row],[Most availble in category]]</f>
        <v>1</v>
      </c>
      <c r="G178" s="27">
        <f>(Table2[[#This Row],[Protein (g)]] * 4 +Table2[[#This Row],[Fat, total (g)]] * 9 + Table2[[#This Row],[Carbohydrate (g)]] *4 )</f>
        <v>274</v>
      </c>
      <c r="H178" s="45">
        <f>'Nutritional input'!E60</f>
        <v>55</v>
      </c>
      <c r="I178" s="45">
        <f>'Nutritional input'!F60</f>
        <v>6</v>
      </c>
      <c r="J178" s="45">
        <f>'Nutritional input'!G60</f>
        <v>0</v>
      </c>
      <c r="K178" s="45">
        <f>'Nutritional input'!H60</f>
        <v>0.6</v>
      </c>
      <c r="L178" s="375">
        <f>IFERROR((_xlfn.XLOOKUP(Table2[[#This Row],[Item]],'Food costs - Input data'!C:C,'Food costs - Input data'!AE:AE)/Table2[[#This Row],[Edible portion]]) / (10*Table2[[#This Row],[Energy (kcal) per 100g edible portion]]),0)</f>
        <v>10.948905109489051</v>
      </c>
      <c r="M178" s="45" cm="1">
        <f t="array" ref="M178">SUMPRODUCT((Table2[Category]=Table2[[#This Row],[Category]])*(Table2[[#This Row],[Price per calorie]]&gt;Table2[Price per calorie]))+1</f>
        <v>2</v>
      </c>
      <c r="N178" s="45">
        <f>IF(Table2[[#This Row],[Widely available?]]=FALSE,1,0)</f>
        <v>0</v>
      </c>
      <c r="O178" s="45">
        <f>SUMIFS(Table2[Count false],Table2[Category],Table2[[#This Row],[Category]],Table2[Caloric content2],"&lt;"&amp;Table2[[#This Row],[Caloric content2]])</f>
        <v>0</v>
      </c>
      <c r="P178" s="73">
        <f>IF(Table2[[#This Row],[Widely available?]]=TRUE,Table2[[#This Row],[Caloric content2]]-Table2[[#This Row],[subtract]],0)</f>
        <v>2</v>
      </c>
      <c r="Q178" s="22" t="str">
        <f>IF(Table2[[#This Row],[Final rank]]&gt;0,Table2[[#This Row],[Category]]&amp;Table2[[#This Row],[Final rank]],"")</f>
        <v>Fish2</v>
      </c>
    </row>
    <row r="179" spans="2:17" x14ac:dyDescent="0.2">
      <c r="B179" s="22" t="str">
        <f>'Food costs - Input data'!B42</f>
        <v>Green leafy vegetables</v>
      </c>
      <c r="C179" s="22" t="str">
        <f>'Food costs - Input data'!C42</f>
        <v>Nakati</v>
      </c>
      <c r="D179" s="27">
        <f>COUNTA('Food costs - Input data'!D42:AB42)</f>
        <v>3</v>
      </c>
      <c r="E179" s="27">
        <f>_xlfn.MAXIFS(Table2[Availability],Table2[Category],Table2[[#This Row],[Category]])</f>
        <v>3</v>
      </c>
      <c r="F179" s="27" t="b">
        <f>Table2[[#This Row],[Availability]] &gt;= 0.25*Table2[[#This Row],[Most availble in category]]</f>
        <v>1</v>
      </c>
      <c r="G179" s="27">
        <f>(Table2[[#This Row],[Protein (g)]] * 4 +Table2[[#This Row],[Fat, total (g)]] * 9 + Table2[[#This Row],[Carbohydrate (g)]] *4 )</f>
        <v>41.6</v>
      </c>
      <c r="H179" s="45">
        <f>'Nutritional input'!E61</f>
        <v>3.5</v>
      </c>
      <c r="I179" s="45">
        <f>'Nutritional input'!F61</f>
        <v>0.4</v>
      </c>
      <c r="J179" s="45">
        <f>'Nutritional input'!G61</f>
        <v>6</v>
      </c>
      <c r="K179" s="45">
        <f>'Nutritional input'!H61</f>
        <v>1</v>
      </c>
      <c r="L179" s="375">
        <f>IFERROR((_xlfn.XLOOKUP(Table2[[#This Row],[Item]],'Food costs - Input data'!C:C,'Food costs - Input data'!AE:AE)/Table2[[#This Row],[Edible portion]]) / (10*Table2[[#This Row],[Energy (kcal) per 100g edible portion]]),0)</f>
        <v>4.8076923076923075</v>
      </c>
      <c r="M179" s="45" cm="1">
        <f t="array" ref="M179">SUMPRODUCT((Table2[Category]=Table2[[#This Row],[Category]])*(Table2[[#This Row],[Price per calorie]]&gt;Table2[Price per calorie]))+1</f>
        <v>3</v>
      </c>
      <c r="N179" s="45">
        <f>IF(Table2[[#This Row],[Widely available?]]=FALSE,1,0)</f>
        <v>0</v>
      </c>
      <c r="O179" s="45">
        <f>SUMIFS(Table2[Count false],Table2[Category],Table2[[#This Row],[Category]],Table2[Caloric content2],"&lt;"&amp;Table2[[#This Row],[Caloric content2]])</f>
        <v>0</v>
      </c>
      <c r="P179" s="73">
        <f>IF(Table2[[#This Row],[Widely available?]]=TRUE,Table2[[#This Row],[Caloric content2]]-Table2[[#This Row],[subtract]],0)</f>
        <v>3</v>
      </c>
      <c r="Q179" s="22" t="str">
        <f>IF(Table2[[#This Row],[Final rank]]&gt;0,Table2[[#This Row],[Category]]&amp;Table2[[#This Row],[Final rank]],"")</f>
        <v>Green leafy vegetables3</v>
      </c>
    </row>
    <row r="180" spans="2:17" x14ac:dyDescent="0.2">
      <c r="B180" s="22" t="str">
        <f>'Food costs - Input data'!B43</f>
        <v>Green leafy vegetables</v>
      </c>
      <c r="C180" s="22" t="str">
        <f>'Food costs - Input data'!C43</f>
        <v>Spinach</v>
      </c>
      <c r="D180" s="27">
        <f>COUNTA('Food costs - Input data'!D43:AB43)</f>
        <v>3</v>
      </c>
      <c r="E180" s="27">
        <f>_xlfn.MAXIFS(Table2[Availability],Table2[Category],Table2[[#This Row],[Category]])</f>
        <v>3</v>
      </c>
      <c r="F180" s="27" t="b">
        <f>Table2[[#This Row],[Availability]] &gt;= 0.25*Table2[[#This Row],[Most availble in category]]</f>
        <v>1</v>
      </c>
      <c r="G180" s="27">
        <f>(Table2[[#This Row],[Protein (g)]] * 4 +Table2[[#This Row],[Fat, total (g)]] * 9 + Table2[[#This Row],[Carbohydrate (g)]] *4 )</f>
        <v>29.6</v>
      </c>
      <c r="H180" s="45">
        <f>'Nutritional input'!E62</f>
        <v>2.9</v>
      </c>
      <c r="I180" s="45">
        <f>'Nutritional input'!F62</f>
        <v>0.4</v>
      </c>
      <c r="J180" s="45">
        <f>'Nutritional input'!G62</f>
        <v>3.6</v>
      </c>
      <c r="K180" s="45">
        <f>'Nutritional input'!H62</f>
        <v>1</v>
      </c>
      <c r="L180" s="375">
        <f>IFERROR((_xlfn.XLOOKUP(Table2[[#This Row],[Item]],'Food costs - Input data'!C:C,'Food costs - Input data'!AE:AE)/Table2[[#This Row],[Edible portion]]) / (10*Table2[[#This Row],[Energy (kcal) per 100g edible portion]]),0)</f>
        <v>3.3783783783783785</v>
      </c>
      <c r="M180" s="45" cm="1">
        <f t="array" ref="M180">SUMPRODUCT((Table2[Category]=Table2[[#This Row],[Category]])*(Table2[[#This Row],[Price per calorie]]&gt;Table2[Price per calorie]))+1</f>
        <v>2</v>
      </c>
      <c r="N180" s="45">
        <f>IF(Table2[[#This Row],[Widely available?]]=FALSE,1,0)</f>
        <v>0</v>
      </c>
      <c r="O180" s="45">
        <f>SUMIFS(Table2[Count false],Table2[Category],Table2[[#This Row],[Category]],Table2[Caloric content2],"&lt;"&amp;Table2[[#This Row],[Caloric content2]])</f>
        <v>0</v>
      </c>
      <c r="P180" s="73">
        <f>IF(Table2[[#This Row],[Widely available?]]=TRUE,Table2[[#This Row],[Caloric content2]]-Table2[[#This Row],[subtract]],0)</f>
        <v>2</v>
      </c>
      <c r="Q180" s="22" t="str">
        <f>IF(Table2[[#This Row],[Final rank]]&gt;0,Table2[[#This Row],[Category]]&amp;Table2[[#This Row],[Final rank]],"")</f>
        <v>Green leafy vegetables2</v>
      </c>
    </row>
    <row r="181" spans="2:17" x14ac:dyDescent="0.2">
      <c r="B181" s="22" t="str">
        <f>'Food costs - Input data'!B44</f>
        <v>Green leafy vegetables</v>
      </c>
      <c r="C181" s="22" t="str">
        <f>'Food costs - Input data'!C44</f>
        <v>Sukuma</v>
      </c>
      <c r="D181" s="27">
        <f>COUNTA('Food costs - Input data'!D44:AB44)</f>
        <v>3</v>
      </c>
      <c r="E181" s="27">
        <f>_xlfn.MAXIFS(Table2[Availability],Table2[Category],Table2[[#This Row],[Category]])</f>
        <v>3</v>
      </c>
      <c r="F181" s="27" t="b">
        <f>Table2[[#This Row],[Availability]] &gt;= 0.25*Table2[[#This Row],[Most availble in category]]</f>
        <v>1</v>
      </c>
      <c r="G181" s="27">
        <f>(Table2[[#This Row],[Protein (g)]] * 4 +Table2[[#This Row],[Fat, total (g)]] * 9 + Table2[[#This Row],[Carbohydrate (g)]] *4 )</f>
        <v>54.7</v>
      </c>
      <c r="H181" s="45">
        <f>'Nutritional input'!E63</f>
        <v>3.3</v>
      </c>
      <c r="I181" s="45">
        <f>'Nutritional input'!F63</f>
        <v>0.7</v>
      </c>
      <c r="J181" s="45">
        <f>'Nutritional input'!G63</f>
        <v>8.8000000000000007</v>
      </c>
      <c r="K181" s="45">
        <f>'Nutritional input'!H63</f>
        <v>1</v>
      </c>
      <c r="L181" s="375">
        <f>IFERROR((_xlfn.XLOOKUP(Table2[[#This Row],[Item]],'Food costs - Input data'!C:C,'Food costs - Input data'!AE:AE)/Table2[[#This Row],[Edible portion]]) / (10*Table2[[#This Row],[Energy (kcal) per 100g edible portion]]),0)</f>
        <v>1.8281535648994516</v>
      </c>
      <c r="M181" s="45" cm="1">
        <f t="array" ref="M181">SUMPRODUCT((Table2[Category]=Table2[[#This Row],[Category]])*(Table2[[#This Row],[Price per calorie]]&gt;Table2[Price per calorie]))+1</f>
        <v>1</v>
      </c>
      <c r="N181" s="45">
        <f>IF(Table2[[#This Row],[Widely available?]]=FALSE,1,0)</f>
        <v>0</v>
      </c>
      <c r="O181" s="45">
        <f>SUMIFS(Table2[Count false],Table2[Category],Table2[[#This Row],[Category]],Table2[Caloric content2],"&lt;"&amp;Table2[[#This Row],[Caloric content2]])</f>
        <v>0</v>
      </c>
      <c r="P181" s="73">
        <f>IF(Table2[[#This Row],[Widely available?]]=TRUE,Table2[[#This Row],[Caloric content2]]-Table2[[#This Row],[subtract]],0)</f>
        <v>1</v>
      </c>
      <c r="Q181" s="22" t="str">
        <f>IF(Table2[[#This Row],[Final rank]]&gt;0,Table2[[#This Row],[Category]]&amp;Table2[[#This Row],[Final rank]],"")</f>
        <v>Green leafy vegetables1</v>
      </c>
    </row>
    <row r="182" spans="2:17" x14ac:dyDescent="0.2">
      <c r="B182" s="22" t="str">
        <f>'Food costs - Input data'!B45</f>
        <v>Other vegetables</v>
      </c>
      <c r="C182" s="22" t="str">
        <f>'Food costs - Input data'!C45</f>
        <v>Doodo</v>
      </c>
      <c r="D182" s="27">
        <f>COUNTA('Food costs - Input data'!D45:AB45)</f>
        <v>3</v>
      </c>
      <c r="E182" s="27">
        <f>_xlfn.MAXIFS(Table2[Availability],Table2[Category],Table2[[#This Row],[Category]])</f>
        <v>3</v>
      </c>
      <c r="F182" s="27" t="b">
        <f>Table2[[#This Row],[Availability]] &gt;= 0.25*Table2[[#This Row],[Most availble in category]]</f>
        <v>1</v>
      </c>
      <c r="G182" s="27">
        <f>(Table2[[#This Row],[Protein (g)]] * 4 +Table2[[#This Row],[Fat, total (g)]] * 9 + Table2[[#This Row],[Carbohydrate (g)]] *4 )</f>
        <v>45.3</v>
      </c>
      <c r="H182" s="45">
        <f>'Nutritional input'!E64</f>
        <v>3.2</v>
      </c>
      <c r="I182" s="45">
        <f>'Nutritional input'!F64</f>
        <v>0.5</v>
      </c>
      <c r="J182" s="45">
        <f>'Nutritional input'!G64</f>
        <v>7</v>
      </c>
      <c r="K182" s="45">
        <f>'Nutritional input'!H64</f>
        <v>1</v>
      </c>
      <c r="L182" s="375">
        <f>IFERROR((_xlfn.XLOOKUP(Table2[[#This Row],[Item]],'Food costs - Input data'!C:C,'Food costs - Input data'!AE:AE)/Table2[[#This Row],[Edible portion]]) / (10*Table2[[#This Row],[Energy (kcal) per 100g edible portion]]),0)</f>
        <v>2.2075055187637971</v>
      </c>
      <c r="M182" s="45" cm="1">
        <f t="array" ref="M182">SUMPRODUCT((Table2[Category]=Table2[[#This Row],[Category]])*(Table2[[#This Row],[Price per calorie]]&gt;Table2[Price per calorie]))+1</f>
        <v>1</v>
      </c>
      <c r="N182" s="45">
        <f>IF(Table2[[#This Row],[Widely available?]]=FALSE,1,0)</f>
        <v>0</v>
      </c>
      <c r="O182" s="45">
        <f>SUMIFS(Table2[Count false],Table2[Category],Table2[[#This Row],[Category]],Table2[Caloric content2],"&lt;"&amp;Table2[[#This Row],[Caloric content2]])</f>
        <v>0</v>
      </c>
      <c r="P182" s="73">
        <f>IF(Table2[[#This Row],[Widely available?]]=TRUE,Table2[[#This Row],[Caloric content2]]-Table2[[#This Row],[subtract]],0)</f>
        <v>1</v>
      </c>
      <c r="Q182" s="22" t="str">
        <f>IF(Table2[[#This Row],[Final rank]]&gt;0,Table2[[#This Row],[Category]]&amp;Table2[[#This Row],[Final rank]],"")</f>
        <v>Other vegetables1</v>
      </c>
    </row>
    <row r="183" spans="2:17" x14ac:dyDescent="0.2">
      <c r="B183" s="22" t="str">
        <f>'Food costs - Input data'!B46</f>
        <v>Other vegetables</v>
      </c>
      <c r="C183" s="22" t="str">
        <f>'Food costs - Input data'!C46</f>
        <v>Bbuga</v>
      </c>
      <c r="D183" s="27">
        <f>COUNTA('Food costs - Input data'!D46:AB46)</f>
        <v>3</v>
      </c>
      <c r="E183" s="27">
        <f>_xlfn.MAXIFS(Table2[Availability],Table2[Category],Table2[[#This Row],[Category]])</f>
        <v>3</v>
      </c>
      <c r="F183" s="27" t="b">
        <f>Table2[[#This Row],[Availability]] &gt;= 0.25*Table2[[#This Row],[Most availble in category]]</f>
        <v>1</v>
      </c>
      <c r="G183" s="27">
        <f>(Table2[[#This Row],[Protein (g)]] * 4 +Table2[[#This Row],[Fat, total (g)]] * 9 + Table2[[#This Row],[Carbohydrate (g)]] *4 )</f>
        <v>36.700000000000003</v>
      </c>
      <c r="H183" s="45">
        <f>'Nutritional input'!E65</f>
        <v>2.5</v>
      </c>
      <c r="I183" s="45">
        <f>'Nutritional input'!F65</f>
        <v>0.3</v>
      </c>
      <c r="J183" s="45">
        <f>'Nutritional input'!G65</f>
        <v>6</v>
      </c>
      <c r="K183" s="45">
        <f>'Nutritional input'!H65</f>
        <v>1</v>
      </c>
      <c r="L183" s="375">
        <f>IFERROR((_xlfn.XLOOKUP(Table2[[#This Row],[Item]],'Food costs - Input data'!C:C,'Food costs - Input data'!AE:AE)/Table2[[#This Row],[Edible portion]]) / (10*Table2[[#This Row],[Energy (kcal) per 100g edible portion]]),0)</f>
        <v>2.7247956403269753</v>
      </c>
      <c r="M183" s="45" cm="1">
        <f t="array" ref="M183">SUMPRODUCT((Table2[Category]=Table2[[#This Row],[Category]])*(Table2[[#This Row],[Price per calorie]]&gt;Table2[Price per calorie]))+1</f>
        <v>3</v>
      </c>
      <c r="N183" s="45">
        <f>IF(Table2[[#This Row],[Widely available?]]=FALSE,1,0)</f>
        <v>0</v>
      </c>
      <c r="O183" s="45">
        <f>SUMIFS(Table2[Count false],Table2[Category],Table2[[#This Row],[Category]],Table2[Caloric content2],"&lt;"&amp;Table2[[#This Row],[Caloric content2]])</f>
        <v>0</v>
      </c>
      <c r="P183" s="73">
        <f>IF(Table2[[#This Row],[Widely available?]]=TRUE,Table2[[#This Row],[Caloric content2]]-Table2[[#This Row],[subtract]],0)</f>
        <v>3</v>
      </c>
      <c r="Q183" s="22" t="str">
        <f>IF(Table2[[#This Row],[Final rank]]&gt;0,Table2[[#This Row],[Category]]&amp;Table2[[#This Row],[Final rank]],"")</f>
        <v>Other vegetables3</v>
      </c>
    </row>
    <row r="184" spans="2:17" x14ac:dyDescent="0.2">
      <c r="B184" s="22" t="str">
        <f>'Food costs - Input data'!B47</f>
        <v>Other vegetables</v>
      </c>
      <c r="C184" s="22" t="str">
        <f>'Food costs - Input data'!C47</f>
        <v>Spring Onions</v>
      </c>
      <c r="D184" s="27">
        <f>COUNTA('Food costs - Input data'!D47:AB47)</f>
        <v>3</v>
      </c>
      <c r="E184" s="27">
        <f>_xlfn.MAXIFS(Table2[Availability],Table2[Category],Table2[[#This Row],[Category]])</f>
        <v>3</v>
      </c>
      <c r="F184" s="27" t="b">
        <f>Table2[[#This Row],[Availability]] &gt;= 0.25*Table2[[#This Row],[Most availble in category]]</f>
        <v>1</v>
      </c>
      <c r="G184" s="27">
        <f>(Table2[[#This Row],[Protein (g)]] * 4 +Table2[[#This Row],[Fat, total (g)]] * 9 + Table2[[#This Row],[Carbohydrate (g)]] *4 )</f>
        <v>38.200000000000003</v>
      </c>
      <c r="H184" s="45">
        <f>'Nutritional input'!E66</f>
        <v>1.8</v>
      </c>
      <c r="I184" s="45">
        <f>'Nutritional input'!F66</f>
        <v>0.2</v>
      </c>
      <c r="J184" s="45">
        <f>'Nutritional input'!G66</f>
        <v>7.3</v>
      </c>
      <c r="K184" s="45">
        <f>'Nutritional input'!H66</f>
        <v>1</v>
      </c>
      <c r="L184" s="375">
        <f>IFERROR((_xlfn.XLOOKUP(Table2[[#This Row],[Item]],'Food costs - Input data'!C:C,'Food costs - Input data'!AE:AE)/Table2[[#This Row],[Edible portion]]) / (10*Table2[[#This Row],[Energy (kcal) per 100g edible portion]]),0)</f>
        <v>2.6178010471204187</v>
      </c>
      <c r="M184" s="45" cm="1">
        <f t="array" ref="M184">SUMPRODUCT((Table2[Category]=Table2[[#This Row],[Category]])*(Table2[[#This Row],[Price per calorie]]&gt;Table2[Price per calorie]))+1</f>
        <v>2</v>
      </c>
      <c r="N184" s="45">
        <f>IF(Table2[[#This Row],[Widely available?]]=FALSE,1,0)</f>
        <v>0</v>
      </c>
      <c r="O184" s="45">
        <f>SUMIFS(Table2[Count false],Table2[Category],Table2[[#This Row],[Category]],Table2[Caloric content2],"&lt;"&amp;Table2[[#This Row],[Caloric content2]])</f>
        <v>0</v>
      </c>
      <c r="P184" s="73">
        <f>IF(Table2[[#This Row],[Widely available?]]=TRUE,Table2[[#This Row],[Caloric content2]]-Table2[[#This Row],[subtract]],0)</f>
        <v>2</v>
      </c>
      <c r="Q184" s="22" t="str">
        <f>IF(Table2[[#This Row],[Final rank]]&gt;0,Table2[[#This Row],[Category]]&amp;Table2[[#This Row],[Final rank]],"")</f>
        <v>Other vegetables2</v>
      </c>
    </row>
    <row r="185" spans="2:17" x14ac:dyDescent="0.2">
      <c r="B185" s="22" t="str">
        <f>'Food costs - Input data'!B48</f>
        <v>Other vegetables</v>
      </c>
      <c r="C185" s="22" t="str">
        <f>'Food costs - Input data'!C48</f>
        <v>Cabbage</v>
      </c>
      <c r="D185" s="27">
        <f>COUNTA('Food costs - Input data'!D48:AB48)</f>
        <v>3</v>
      </c>
      <c r="E185" s="27">
        <f>_xlfn.MAXIFS(Table2[Availability],Table2[Category],Table2[[#This Row],[Category]])</f>
        <v>3</v>
      </c>
      <c r="F185" s="27" t="b">
        <f>Table2[[#This Row],[Availability]] &gt;= 0.25*Table2[[#This Row],[Most availble in category]]</f>
        <v>1</v>
      </c>
      <c r="G185" s="27">
        <f>(Table2[[#This Row],[Protein (g)]] * 4 +Table2[[#This Row],[Fat, total (g)]] * 9 + Table2[[#This Row],[Carbohydrate (g)]] *4 )</f>
        <v>30.1</v>
      </c>
      <c r="H185" s="45">
        <f>'Nutritional input'!E67</f>
        <v>1.3</v>
      </c>
      <c r="I185" s="45">
        <f>'Nutritional input'!F67</f>
        <v>0.1</v>
      </c>
      <c r="J185" s="45">
        <f>'Nutritional input'!G67</f>
        <v>6</v>
      </c>
      <c r="K185" s="45">
        <f>'Nutritional input'!H67</f>
        <v>1</v>
      </c>
      <c r="L185" s="375">
        <f>IFERROR((_xlfn.XLOOKUP(Table2[[#This Row],[Item]],'Food costs - Input data'!C:C,'Food costs - Input data'!AE:AE)/Table2[[#This Row],[Edible portion]]) / (10*Table2[[#This Row],[Energy (kcal) per 100g edible portion]]),0)</f>
        <v>6.6445182724252492</v>
      </c>
      <c r="M185" s="45" cm="1">
        <f t="array" ref="M185">SUMPRODUCT((Table2[Category]=Table2[[#This Row],[Category]])*(Table2[[#This Row],[Price per calorie]]&gt;Table2[Price per calorie]))+1</f>
        <v>4</v>
      </c>
      <c r="N185" s="45">
        <f>IF(Table2[[#This Row],[Widely available?]]=FALSE,1,0)</f>
        <v>0</v>
      </c>
      <c r="O185" s="45">
        <f>SUMIFS(Table2[Count false],Table2[Category],Table2[[#This Row],[Category]],Table2[Caloric content2],"&lt;"&amp;Table2[[#This Row],[Caloric content2]])</f>
        <v>0</v>
      </c>
      <c r="P185" s="73">
        <f>IF(Table2[[#This Row],[Widely available?]]=TRUE,Table2[[#This Row],[Caloric content2]]-Table2[[#This Row],[subtract]],0)</f>
        <v>4</v>
      </c>
      <c r="Q185" s="22" t="str">
        <f>IF(Table2[[#This Row],[Final rank]]&gt;0,Table2[[#This Row],[Category]]&amp;Table2[[#This Row],[Final rank]],"")</f>
        <v>Other vegetables4</v>
      </c>
    </row>
    <row r="186" spans="2:17" x14ac:dyDescent="0.2">
      <c r="B186" s="22" t="str">
        <f>'Food costs - Input data'!B49</f>
        <v>Fruits</v>
      </c>
      <c r="C186" s="22" t="str">
        <f>'Food costs - Input data'!C49</f>
        <v>Water Melon</v>
      </c>
      <c r="D186" s="27">
        <f>COUNTA('Food costs - Input data'!D49:AB49)</f>
        <v>3</v>
      </c>
      <c r="E186" s="27">
        <f>_xlfn.MAXIFS(Table2[Availability],Table2[Category],Table2[[#This Row],[Category]])</f>
        <v>3</v>
      </c>
      <c r="F186" s="27" t="b">
        <f>Table2[[#This Row],[Availability]] &gt;= 0.25*Table2[[#This Row],[Most availble in category]]</f>
        <v>1</v>
      </c>
      <c r="G186" s="27">
        <f>(Table2[[#This Row],[Protein (g)]] * 4 +Table2[[#This Row],[Fat, total (g)]] * 9 + Table2[[#This Row],[Carbohydrate (g)]] *4 )</f>
        <v>36.200000000000003</v>
      </c>
      <c r="H186" s="45">
        <f>'Nutritional input'!E68</f>
        <v>0.6</v>
      </c>
      <c r="I186" s="45">
        <f>'Nutritional input'!F68</f>
        <v>0.2</v>
      </c>
      <c r="J186" s="45">
        <f>'Nutritional input'!G68</f>
        <v>8</v>
      </c>
      <c r="K186" s="45">
        <f>'Nutritional input'!H68</f>
        <v>0.8</v>
      </c>
      <c r="L186" s="375">
        <f>IFERROR((_xlfn.XLOOKUP(Table2[[#This Row],[Item]],'Food costs - Input data'!C:C,'Food costs - Input data'!AE:AE)/Table2[[#This Row],[Edible portion]]) / (10*Table2[[#This Row],[Energy (kcal) per 100g edible portion]]),0)</f>
        <v>27.624309392265193</v>
      </c>
      <c r="M186" s="45" cm="1">
        <f t="array" ref="M186">SUMPRODUCT((Table2[Category]=Table2[[#This Row],[Category]])*(Table2[[#This Row],[Price per calorie]]&gt;Table2[Price per calorie]))+1</f>
        <v>4</v>
      </c>
      <c r="N186" s="45">
        <f>IF(Table2[[#This Row],[Widely available?]]=FALSE,1,0)</f>
        <v>0</v>
      </c>
      <c r="O186" s="45">
        <f>SUMIFS(Table2[Count false],Table2[Category],Table2[[#This Row],[Category]],Table2[Caloric content2],"&lt;"&amp;Table2[[#This Row],[Caloric content2]])</f>
        <v>0</v>
      </c>
      <c r="P186" s="73">
        <f>IF(Table2[[#This Row],[Widely available?]]=TRUE,Table2[[#This Row],[Caloric content2]]-Table2[[#This Row],[subtract]],0)</f>
        <v>4</v>
      </c>
      <c r="Q186" s="22" t="str">
        <f>IF(Table2[[#This Row],[Final rank]]&gt;0,Table2[[#This Row],[Category]]&amp;Table2[[#This Row],[Final rank]],"")</f>
        <v>Fruits4</v>
      </c>
    </row>
    <row r="187" spans="2:17" x14ac:dyDescent="0.2">
      <c r="B187" s="22" t="str">
        <f>'Food costs - Input data'!B50</f>
        <v>Fruits</v>
      </c>
      <c r="C187" s="22" t="str">
        <f>'Food costs - Input data'!C50</f>
        <v>Mangoes</v>
      </c>
      <c r="D187" s="27">
        <f>COUNTA('Food costs - Input data'!D50:AB50)</f>
        <v>3</v>
      </c>
      <c r="E187" s="27">
        <f>_xlfn.MAXIFS(Table2[Availability],Table2[Category],Table2[[#This Row],[Category]])</f>
        <v>3</v>
      </c>
      <c r="F187" s="27" t="b">
        <f>Table2[[#This Row],[Availability]] &gt;= 0.25*Table2[[#This Row],[Most availble in category]]</f>
        <v>1</v>
      </c>
      <c r="G187" s="27">
        <f>(Table2[[#This Row],[Protein (g)]] * 4 +Table2[[#This Row],[Fat, total (g)]] * 9 + Table2[[#This Row],[Carbohydrate (g)]] *4 )</f>
        <v>66.8</v>
      </c>
      <c r="H187" s="45">
        <f>'Nutritional input'!E69</f>
        <v>0.8</v>
      </c>
      <c r="I187" s="45">
        <f>'Nutritional input'!F69</f>
        <v>0.4</v>
      </c>
      <c r="J187" s="45">
        <f>'Nutritional input'!G69</f>
        <v>15</v>
      </c>
      <c r="K187" s="45">
        <f>'Nutritional input'!H69</f>
        <v>0.8</v>
      </c>
      <c r="L187" s="375">
        <f>IFERROR((_xlfn.XLOOKUP(Table2[[#This Row],[Item]],'Food costs - Input data'!C:C,'Food costs - Input data'!AE:AE)/Table2[[#This Row],[Edible portion]]) / (10*Table2[[#This Row],[Energy (kcal) per 100g edible portion]]),0)</f>
        <v>9.3562874251497004</v>
      </c>
      <c r="M187" s="45" cm="1">
        <f t="array" ref="M187">SUMPRODUCT((Table2[Category]=Table2[[#This Row],[Category]])*(Table2[[#This Row],[Price per calorie]]&gt;Table2[Price per calorie]))+1</f>
        <v>3</v>
      </c>
      <c r="N187" s="45">
        <f>IF(Table2[[#This Row],[Widely available?]]=FALSE,1,0)</f>
        <v>0</v>
      </c>
      <c r="O187" s="45">
        <f>SUMIFS(Table2[Count false],Table2[Category],Table2[[#This Row],[Category]],Table2[Caloric content2],"&lt;"&amp;Table2[[#This Row],[Caloric content2]])</f>
        <v>0</v>
      </c>
      <c r="P187" s="73">
        <f>IF(Table2[[#This Row],[Widely available?]]=TRUE,Table2[[#This Row],[Caloric content2]]-Table2[[#This Row],[subtract]],0)</f>
        <v>3</v>
      </c>
      <c r="Q187" s="22" t="str">
        <f>IF(Table2[[#This Row],[Final rank]]&gt;0,Table2[[#This Row],[Category]]&amp;Table2[[#This Row],[Final rank]],"")</f>
        <v>Fruits3</v>
      </c>
    </row>
    <row r="188" spans="2:17" x14ac:dyDescent="0.2">
      <c r="B188" s="22" t="str">
        <f>'Food costs - Input data'!B51</f>
        <v>Fruits</v>
      </c>
      <c r="C188" s="22" t="str">
        <f>'Food costs - Input data'!C51</f>
        <v>Bananas</v>
      </c>
      <c r="D188" s="27">
        <f>COUNTA('Food costs - Input data'!D51:AB51)</f>
        <v>3</v>
      </c>
      <c r="E188" s="27">
        <f>_xlfn.MAXIFS(Table2[Availability],Table2[Category],Table2[[#This Row],[Category]])</f>
        <v>3</v>
      </c>
      <c r="F188" s="27" t="b">
        <f>Table2[[#This Row],[Availability]] &gt;= 0.25*Table2[[#This Row],[Most availble in category]]</f>
        <v>1</v>
      </c>
      <c r="G188" s="27">
        <f>(Table2[[#This Row],[Protein (g)]] * 4 +Table2[[#This Row],[Fat, total (g)]] * 9 + Table2[[#This Row],[Carbohydrate (g)]] *4 )</f>
        <v>99.1</v>
      </c>
      <c r="H188" s="45">
        <f>'Nutritional input'!E70</f>
        <v>1.1000000000000001</v>
      </c>
      <c r="I188" s="45">
        <f>'Nutritional input'!F70</f>
        <v>0.3</v>
      </c>
      <c r="J188" s="45">
        <f>'Nutritional input'!G70</f>
        <v>23</v>
      </c>
      <c r="K188" s="45">
        <f>'Nutritional input'!H70</f>
        <v>0.8</v>
      </c>
      <c r="L188" s="375">
        <f>IFERROR((_xlfn.XLOOKUP(Table2[[#This Row],[Item]],'Food costs - Input data'!C:C,'Food costs - Input data'!AE:AE)/Table2[[#This Row],[Edible portion]]) / (10*Table2[[#This Row],[Energy (kcal) per 100g edible portion]]),0)</f>
        <v>8.829465186680121</v>
      </c>
      <c r="M188" s="45" cm="1">
        <f t="array" ref="M188">SUMPRODUCT((Table2[Category]=Table2[[#This Row],[Category]])*(Table2[[#This Row],[Price per calorie]]&gt;Table2[Price per calorie]))+1</f>
        <v>1</v>
      </c>
      <c r="N188" s="45">
        <f>IF(Table2[[#This Row],[Widely available?]]=FALSE,1,0)</f>
        <v>0</v>
      </c>
      <c r="O188" s="45">
        <f>SUMIFS(Table2[Count false],Table2[Category],Table2[[#This Row],[Category]],Table2[Caloric content2],"&lt;"&amp;Table2[[#This Row],[Caloric content2]])</f>
        <v>0</v>
      </c>
      <c r="P188" s="73">
        <f>IF(Table2[[#This Row],[Widely available?]]=TRUE,Table2[[#This Row],[Caloric content2]]-Table2[[#This Row],[subtract]],0)</f>
        <v>1</v>
      </c>
      <c r="Q188" s="22" t="str">
        <f>IF(Table2[[#This Row],[Final rank]]&gt;0,Table2[[#This Row],[Category]]&amp;Table2[[#This Row],[Final rank]],"")</f>
        <v>Fruits1</v>
      </c>
    </row>
    <row r="189" spans="2:17" x14ac:dyDescent="0.2">
      <c r="B189" s="22" t="str">
        <f>'Food costs - Input data'!B52</f>
        <v>Fruits</v>
      </c>
      <c r="C189" s="22" t="str">
        <f>'Food costs - Input data'!C52</f>
        <v>Pine Apple</v>
      </c>
      <c r="D189" s="27">
        <f>COUNTA('Food costs - Input data'!D52:AB52)</f>
        <v>3</v>
      </c>
      <c r="E189" s="27">
        <f>_xlfn.MAXIFS(Table2[Availability],Table2[Category],Table2[[#This Row],[Category]])</f>
        <v>3</v>
      </c>
      <c r="F189" s="27" t="b">
        <f>Table2[[#This Row],[Availability]] &gt;= 0.25*Table2[[#This Row],[Most availble in category]]</f>
        <v>1</v>
      </c>
      <c r="G189" s="27">
        <f>(Table2[[#This Row],[Protein (g)]] * 4 +Table2[[#This Row],[Fat, total (g)]] * 9 + Table2[[#This Row],[Carbohydrate (g)]] *4 )</f>
        <v>54.9</v>
      </c>
      <c r="H189" s="45">
        <f>'Nutritional input'!E71</f>
        <v>0.5</v>
      </c>
      <c r="I189" s="45">
        <f>'Nutritional input'!F71</f>
        <v>0.1</v>
      </c>
      <c r="J189" s="45">
        <f>'Nutritional input'!G71</f>
        <v>13</v>
      </c>
      <c r="K189" s="45">
        <f>'Nutritional input'!H71</f>
        <v>0.8</v>
      </c>
      <c r="L189" s="375">
        <f>IFERROR((_xlfn.XLOOKUP(Table2[[#This Row],[Item]],'Food costs - Input data'!C:C,'Food costs - Input data'!AE:AE)/Table2[[#This Row],[Edible portion]]) / (10*Table2[[#This Row],[Energy (kcal) per 100g edible portion]]),0)</f>
        <v>9.1074681238615671</v>
      </c>
      <c r="M189" s="45" cm="1">
        <f t="array" ref="M189">SUMPRODUCT((Table2[Category]=Table2[[#This Row],[Category]])*(Table2[[#This Row],[Price per calorie]]&gt;Table2[Price per calorie]))+1</f>
        <v>2</v>
      </c>
      <c r="N189" s="45">
        <f>IF(Table2[[#This Row],[Widely available?]]=FALSE,1,0)</f>
        <v>0</v>
      </c>
      <c r="O189" s="45">
        <f>SUMIFS(Table2[Count false],Table2[Category],Table2[[#This Row],[Category]],Table2[Caloric content2],"&lt;"&amp;Table2[[#This Row],[Caloric content2]])</f>
        <v>0</v>
      </c>
      <c r="P189" s="73">
        <f>IF(Table2[[#This Row],[Widely available?]]=TRUE,Table2[[#This Row],[Caloric content2]]-Table2[[#This Row],[subtract]],0)</f>
        <v>2</v>
      </c>
      <c r="Q189" s="22" t="str">
        <f>IF(Table2[[#This Row],[Final rank]]&gt;0,Table2[[#This Row],[Category]]&amp;Table2[[#This Row],[Final rank]],"")</f>
        <v>Fruits2</v>
      </c>
    </row>
    <row r="190" spans="2:17" x14ac:dyDescent="0.2">
      <c r="B190" s="22" t="str">
        <f>'Food costs - Input data'!B53</f>
        <v>Oils &amp; Fats</v>
      </c>
      <c r="C190" s="22" t="str">
        <f>'Food costs - Input data'!C53</f>
        <v>Cooking Oil</v>
      </c>
      <c r="D190" s="27">
        <f>COUNTA('Food costs - Input data'!D53:AB53)</f>
        <v>3</v>
      </c>
      <c r="E190" s="27">
        <f>_xlfn.MAXIFS(Table2[Availability],Table2[Category],Table2[[#This Row],[Category]])</f>
        <v>3</v>
      </c>
      <c r="F190" s="27" t="b">
        <f>Table2[[#This Row],[Availability]] &gt;= 0.25*Table2[[#This Row],[Most availble in category]]</f>
        <v>1</v>
      </c>
      <c r="G190" s="27">
        <f>(Table2[[#This Row],[Protein (g)]] * 4 +Table2[[#This Row],[Fat, total (g)]] * 9 + Table2[[#This Row],[Carbohydrate (g)]] *4 )</f>
        <v>900</v>
      </c>
      <c r="H190" s="45">
        <f>'Nutritional input'!E72</f>
        <v>0</v>
      </c>
      <c r="I190" s="45">
        <f>'Nutritional input'!F72</f>
        <v>100</v>
      </c>
      <c r="J190" s="45">
        <f>'Nutritional input'!G72</f>
        <v>0</v>
      </c>
      <c r="K190" s="45">
        <f>'Nutritional input'!H72</f>
        <v>0.8</v>
      </c>
      <c r="L190" s="375">
        <f>IFERROR((_xlfn.XLOOKUP(Table2[[#This Row],[Item]],'Food costs - Input data'!C:C,'Food costs - Input data'!AE:AE)/Table2[[#This Row],[Edible portion]]) / (10*Table2[[#This Row],[Energy (kcal) per 100g edible portion]]),0)</f>
        <v>1.3888888888888888</v>
      </c>
      <c r="M190" s="45" cm="1">
        <f t="array" ref="M190">SUMPRODUCT((Table2[Category]=Table2[[#This Row],[Category]])*(Table2[[#This Row],[Price per calorie]]&gt;Table2[Price per calorie]))+1</f>
        <v>2</v>
      </c>
      <c r="N190" s="45">
        <f>IF(Table2[[#This Row],[Widely available?]]=FALSE,1,0)</f>
        <v>0</v>
      </c>
      <c r="O190" s="45">
        <f>SUMIFS(Table2[Count false],Table2[Category],Table2[[#This Row],[Category]],Table2[Caloric content2],"&lt;"&amp;Table2[[#This Row],[Caloric content2]])</f>
        <v>0</v>
      </c>
      <c r="P190" s="73">
        <f>IF(Table2[[#This Row],[Widely available?]]=TRUE,Table2[[#This Row],[Caloric content2]]-Table2[[#This Row],[subtract]],0)</f>
        <v>2</v>
      </c>
      <c r="Q190" s="22" t="str">
        <f>IF(Table2[[#This Row],[Final rank]]&gt;0,Table2[[#This Row],[Category]]&amp;Table2[[#This Row],[Final rank]],"")</f>
        <v>Oils &amp; Fats2</v>
      </c>
    </row>
    <row r="191" spans="2:17" x14ac:dyDescent="0.2">
      <c r="B191" s="22" t="str">
        <f>'Food costs - Input data'!B54</f>
        <v>Oils &amp; Fats</v>
      </c>
      <c r="C191" s="22" t="str">
        <f>'Food costs - Input data'!C54</f>
        <v>Cow Ghee</v>
      </c>
      <c r="D191" s="27">
        <f>COUNTA('Food costs - Input data'!D54:AB54)</f>
        <v>3</v>
      </c>
      <c r="E191" s="27">
        <f>_xlfn.MAXIFS(Table2[Availability],Table2[Category],Table2[[#This Row],[Category]])</f>
        <v>3</v>
      </c>
      <c r="F191" s="27" t="b">
        <f>Table2[[#This Row],[Availability]] &gt;= 0.25*Table2[[#This Row],[Most availble in category]]</f>
        <v>1</v>
      </c>
      <c r="G191" s="27">
        <f>(Table2[[#This Row],[Protein (g)]] * 4 +Table2[[#This Row],[Fat, total (g)]] * 9 + Table2[[#This Row],[Carbohydrate (g)]] *4 )</f>
        <v>892.2</v>
      </c>
      <c r="H191" s="45">
        <f>'Nutritional input'!E73</f>
        <v>0.3</v>
      </c>
      <c r="I191" s="45">
        <f>'Nutritional input'!F73</f>
        <v>99</v>
      </c>
      <c r="J191" s="45">
        <f>'Nutritional input'!G73</f>
        <v>0</v>
      </c>
      <c r="K191" s="45">
        <f>'Nutritional input'!H73</f>
        <v>0.8</v>
      </c>
      <c r="L191" s="375">
        <f>IFERROR((_xlfn.XLOOKUP(Table2[[#This Row],[Item]],'Food costs - Input data'!C:C,'Food costs - Input data'!AE:AE)/Table2[[#This Row],[Edible portion]]) / (10*Table2[[#This Row],[Energy (kcal) per 100g edible portion]]),0)</f>
        <v>1.4010311589329747</v>
      </c>
      <c r="M191" s="45" cm="1">
        <f t="array" ref="M191">SUMPRODUCT((Table2[Category]=Table2[[#This Row],[Category]])*(Table2[[#This Row],[Price per calorie]]&gt;Table2[Price per calorie]))+1</f>
        <v>3</v>
      </c>
      <c r="N191" s="45">
        <f>IF(Table2[[#This Row],[Widely available?]]=FALSE,1,0)</f>
        <v>0</v>
      </c>
      <c r="O191" s="45">
        <f>SUMIFS(Table2[Count false],Table2[Category],Table2[[#This Row],[Category]],Table2[Caloric content2],"&lt;"&amp;Table2[[#This Row],[Caloric content2]])</f>
        <v>0</v>
      </c>
      <c r="P191" s="73">
        <f>IF(Table2[[#This Row],[Widely available?]]=TRUE,Table2[[#This Row],[Caloric content2]]-Table2[[#This Row],[subtract]],0)</f>
        <v>3</v>
      </c>
      <c r="Q191" s="22" t="str">
        <f>IF(Table2[[#This Row],[Final rank]]&gt;0,Table2[[#This Row],[Category]]&amp;Table2[[#This Row],[Final rank]],"")</f>
        <v>Oils &amp; Fats3</v>
      </c>
    </row>
    <row r="192" spans="2:17" x14ac:dyDescent="0.2">
      <c r="B192" s="22" t="str">
        <f>'Food costs - Input data'!B55</f>
        <v>Oils &amp; Fats</v>
      </c>
      <c r="C192" s="22" t="str">
        <f>'Food costs - Input data'!C55</f>
        <v>Processed Fats (Cowboy)</v>
      </c>
      <c r="D192" s="27">
        <f>COUNTA('Food costs - Input data'!D55:AB55)</f>
        <v>3</v>
      </c>
      <c r="E192" s="27">
        <f>_xlfn.MAXIFS(Table2[Availability],Table2[Category],Table2[[#This Row],[Category]])</f>
        <v>3</v>
      </c>
      <c r="F192" s="27" t="b">
        <f>Table2[[#This Row],[Availability]] &gt;= 0.25*Table2[[#This Row],[Most availble in category]]</f>
        <v>1</v>
      </c>
      <c r="G192" s="27">
        <f>(Table2[[#This Row],[Protein (g)]] * 4 +Table2[[#This Row],[Fat, total (g)]] * 9 + Table2[[#This Row],[Carbohydrate (g)]] *4 )</f>
        <v>723.59999999999991</v>
      </c>
      <c r="H192" s="45">
        <f>'Nutritional input'!E74</f>
        <v>0.2</v>
      </c>
      <c r="I192" s="45">
        <f>'Nutritional input'!F74</f>
        <v>80</v>
      </c>
      <c r="J192" s="45">
        <f>'Nutritional input'!G74</f>
        <v>0.7</v>
      </c>
      <c r="K192" s="45">
        <f>'Nutritional input'!H74</f>
        <v>0.8</v>
      </c>
      <c r="L192" s="375">
        <f>IFERROR((_xlfn.XLOOKUP(Table2[[#This Row],[Item]],'Food costs - Input data'!C:C,'Food costs - Input data'!AE:AE)/Table2[[#This Row],[Edible portion]]) / (10*Table2[[#This Row],[Energy (kcal) per 100g edible portion]]),0)</f>
        <v>0.86373687119955789</v>
      </c>
      <c r="M192" s="45" cm="1">
        <f t="array" ref="M192">SUMPRODUCT((Table2[Category]=Table2[[#This Row],[Category]])*(Table2[[#This Row],[Price per calorie]]&gt;Table2[Price per calorie]))+1</f>
        <v>1</v>
      </c>
      <c r="N192" s="45">
        <f>IF(Table2[[#This Row],[Widely available?]]=FALSE,1,0)</f>
        <v>0</v>
      </c>
      <c r="O192" s="45">
        <f>SUMIFS(Table2[Count false],Table2[Category],Table2[[#This Row],[Category]],Table2[Caloric content2],"&lt;"&amp;Table2[[#This Row],[Caloric content2]])</f>
        <v>0</v>
      </c>
      <c r="P192" s="73">
        <f>IF(Table2[[#This Row],[Widely available?]]=TRUE,Table2[[#This Row],[Caloric content2]]-Table2[[#This Row],[subtract]],0)</f>
        <v>1</v>
      </c>
      <c r="Q192" s="22" t="str">
        <f>IF(Table2[[#This Row],[Final rank]]&gt;0,Table2[[#This Row],[Category]]&amp;Table2[[#This Row],[Final rank]],"")</f>
        <v>Oils &amp; Fats1</v>
      </c>
    </row>
    <row r="193" spans="2:17" x14ac:dyDescent="0.2">
      <c r="B193" s="22" t="str">
        <f>'Food costs - Input data'!B56</f>
        <v>Nonalcoholic beverages</v>
      </c>
      <c r="C193" s="22" t="str">
        <f>'Food costs - Input data'!C56</f>
        <v>soda</v>
      </c>
      <c r="D193" s="27">
        <f>COUNTA('Food costs - Input data'!D56:AB56)</f>
        <v>3</v>
      </c>
      <c r="E193" s="27">
        <f>_xlfn.MAXIFS(Table2[Availability],Table2[Category],Table2[[#This Row],[Category]])</f>
        <v>3</v>
      </c>
      <c r="F193" s="27" t="b">
        <f>Table2[[#This Row],[Availability]] &gt;= 0.25*Table2[[#This Row],[Most availble in category]]</f>
        <v>1</v>
      </c>
      <c r="G193" s="27">
        <f>(Table2[[#This Row],[Protein (g)]] * 4 +Table2[[#This Row],[Fat, total (g)]] * 9 + Table2[[#This Row],[Carbohydrate (g)]] *4 )</f>
        <v>0</v>
      </c>
      <c r="H193" s="45">
        <f>'Nutritional input'!E75</f>
        <v>0</v>
      </c>
      <c r="I193" s="45">
        <f>'Nutritional input'!F75</f>
        <v>0</v>
      </c>
      <c r="J193" s="45">
        <f>'Nutritional input'!G75</f>
        <v>0</v>
      </c>
      <c r="K193" s="45">
        <f>'Nutritional input'!H75</f>
        <v>1</v>
      </c>
      <c r="L193" s="375">
        <f>IFERROR((_xlfn.XLOOKUP(Table2[[#This Row],[Item]],'Food costs - Input data'!C:C,'Food costs - Input data'!AE:AE)/Table2[[#This Row],[Edible portion]]) / (10*Table2[[#This Row],[Energy (kcal) per 100g edible portion]]),0)</f>
        <v>0</v>
      </c>
      <c r="M193" s="45" cm="1">
        <f t="array" ref="M193">SUMPRODUCT((Table2[Category]=Table2[[#This Row],[Category]])*(Table2[[#This Row],[Price per calorie]]&gt;Table2[Price per calorie]))+1</f>
        <v>1</v>
      </c>
      <c r="N193" s="45">
        <f>IF(Table2[[#This Row],[Widely available?]]=FALSE,1,0)</f>
        <v>0</v>
      </c>
      <c r="O193" s="45">
        <f>SUMIFS(Table2[Count false],Table2[Category],Table2[[#This Row],[Category]],Table2[Caloric content2],"&lt;"&amp;Table2[[#This Row],[Caloric content2]])</f>
        <v>0</v>
      </c>
      <c r="P193" s="73">
        <f>IF(Table2[[#This Row],[Widely available?]]=TRUE,Table2[[#This Row],[Caloric content2]]-Table2[[#This Row],[subtract]],0)</f>
        <v>1</v>
      </c>
      <c r="Q193" s="22" t="str">
        <f>IF(Table2[[#This Row],[Final rank]]&gt;0,Table2[[#This Row],[Category]]&amp;Table2[[#This Row],[Final rank]],"")</f>
        <v>Nonalcoholic beverages1</v>
      </c>
    </row>
    <row r="194" spans="2:17" x14ac:dyDescent="0.2">
      <c r="B194" s="22" t="str">
        <f>'Food costs - Input data'!B57</f>
        <v>Nonalcoholic beverages</v>
      </c>
      <c r="C194" s="22" t="str">
        <f>'Food costs - Input data'!C57</f>
        <v>soda</v>
      </c>
      <c r="D194" s="27">
        <f>COUNTA('Food costs - Input data'!D57:AB57)</f>
        <v>3</v>
      </c>
      <c r="E194" s="27">
        <f>_xlfn.MAXIFS(Table2[Availability],Table2[Category],Table2[[#This Row],[Category]])</f>
        <v>3</v>
      </c>
      <c r="F194" s="27" t="b">
        <f>Table2[[#This Row],[Availability]] &gt;= 0.25*Table2[[#This Row],[Most availble in category]]</f>
        <v>1</v>
      </c>
      <c r="G194" s="27">
        <f>(Table2[[#This Row],[Protein (g)]] * 4 +Table2[[#This Row],[Fat, total (g)]] * 9 + Table2[[#This Row],[Carbohydrate (g)]] *4 )</f>
        <v>0.4</v>
      </c>
      <c r="H194" s="45">
        <f>'Nutritional input'!E76</f>
        <v>0.1</v>
      </c>
      <c r="I194" s="45">
        <f>'Nutritional input'!F76</f>
        <v>0</v>
      </c>
      <c r="J194" s="45">
        <f>'Nutritional input'!G76</f>
        <v>0</v>
      </c>
      <c r="K194" s="45">
        <f>'Nutritional input'!H76</f>
        <v>1</v>
      </c>
      <c r="L194" s="375">
        <f>IFERROR((_xlfn.XLOOKUP(Table2[[#This Row],[Item]],'Food costs - Input data'!C:C,'Food costs - Input data'!AE:AE)/Table2[[#This Row],[Edible portion]]) / (10*Table2[[#This Row],[Energy (kcal) per 100g edible portion]]),0)</f>
        <v>250</v>
      </c>
      <c r="M194" s="45" cm="1">
        <f t="array" ref="M194">SUMPRODUCT((Table2[Category]=Table2[[#This Row],[Category]])*(Table2[[#This Row],[Price per calorie]]&gt;Table2[Price per calorie]))+1</f>
        <v>3</v>
      </c>
      <c r="N194" s="45">
        <f>IF(Table2[[#This Row],[Widely available?]]=FALSE,1,0)</f>
        <v>0</v>
      </c>
      <c r="O194" s="45">
        <f>SUMIFS(Table2[Count false],Table2[Category],Table2[[#This Row],[Category]],Table2[Caloric content2],"&lt;"&amp;Table2[[#This Row],[Caloric content2]])</f>
        <v>0</v>
      </c>
      <c r="P194" s="73">
        <f>IF(Table2[[#This Row],[Widely available?]]=TRUE,Table2[[#This Row],[Caloric content2]]-Table2[[#This Row],[subtract]],0)</f>
        <v>3</v>
      </c>
      <c r="Q194" s="22" t="str">
        <f>IF(Table2[[#This Row],[Final rank]]&gt;0,Table2[[#This Row],[Category]]&amp;Table2[[#This Row],[Final rank]],"")</f>
        <v>Nonalcoholic beverages3</v>
      </c>
    </row>
    <row r="195" spans="2:17" x14ac:dyDescent="0.2">
      <c r="B195" s="22" t="str">
        <f>'Food costs - Input data'!B58</f>
        <v>Nonalcoholic beverages</v>
      </c>
      <c r="C195" s="22" t="str">
        <f>'Food costs - Input data'!C58</f>
        <v>soda</v>
      </c>
      <c r="D195" s="27">
        <f>COUNTA('Food costs - Input data'!D58:AB58)</f>
        <v>3</v>
      </c>
      <c r="E195" s="27">
        <f>_xlfn.MAXIFS(Table2[Availability],Table2[Category],Table2[[#This Row],[Category]])</f>
        <v>3</v>
      </c>
      <c r="F195" s="27" t="b">
        <f>Table2[[#This Row],[Availability]] &gt;= 0.25*Table2[[#This Row],[Most availble in category]]</f>
        <v>1</v>
      </c>
      <c r="G195" s="27">
        <f>(Table2[[#This Row],[Protein (g)]] * 4 +Table2[[#This Row],[Fat, total (g)]] * 9 + Table2[[#This Row],[Carbohydrate (g)]] *4 )</f>
        <v>42.4</v>
      </c>
      <c r="H195" s="45">
        <f>'Nutritional input'!E77</f>
        <v>0</v>
      </c>
      <c r="I195" s="45">
        <f>'Nutritional input'!F77</f>
        <v>0</v>
      </c>
      <c r="J195" s="45">
        <f>'Nutritional input'!G77</f>
        <v>10.6</v>
      </c>
      <c r="K195" s="45">
        <f>'Nutritional input'!H77</f>
        <v>1</v>
      </c>
      <c r="L195" s="375">
        <f>IFERROR((_xlfn.XLOOKUP(Table2[[#This Row],[Item]],'Food costs - Input data'!C:C,'Food costs - Input data'!AE:AE)/Table2[[#This Row],[Edible portion]]) / (10*Table2[[#This Row],[Energy (kcal) per 100g edible portion]]),0)</f>
        <v>2.358490566037736</v>
      </c>
      <c r="M195" s="45" cm="1">
        <f t="array" ref="M195">SUMPRODUCT((Table2[Category]=Table2[[#This Row],[Category]])*(Table2[[#This Row],[Price per calorie]]&gt;Table2[Price per calorie]))+1</f>
        <v>2</v>
      </c>
      <c r="N195" s="45">
        <f>IF(Table2[[#This Row],[Widely available?]]=FALSE,1,0)</f>
        <v>0</v>
      </c>
      <c r="O195" s="45">
        <f>SUMIFS(Table2[Count false],Table2[Category],Table2[[#This Row],[Category]],Table2[Caloric content2],"&lt;"&amp;Table2[[#This Row],[Caloric content2]])</f>
        <v>0</v>
      </c>
      <c r="P195" s="73">
        <f>IF(Table2[[#This Row],[Widely available?]]=TRUE,Table2[[#This Row],[Caloric content2]]-Table2[[#This Row],[subtract]],0)</f>
        <v>2</v>
      </c>
      <c r="Q195" s="22" t="str">
        <f>IF(Table2[[#This Row],[Final rank]]&gt;0,Table2[[#This Row],[Category]]&amp;Table2[[#This Row],[Final rank]],"")</f>
        <v>Nonalcoholic beverages2</v>
      </c>
    </row>
    <row r="196" spans="2:17" x14ac:dyDescent="0.2">
      <c r="B196" s="22" t="str">
        <f>'Food costs - Input data'!B59</f>
        <v>Other</v>
      </c>
      <c r="C196" s="22" t="str">
        <f>'Food costs - Input data'!C59</f>
        <v>Banana Juice</v>
      </c>
      <c r="D196" s="27">
        <f>COUNTA('Food costs - Input data'!D59:AB59)</f>
        <v>3</v>
      </c>
      <c r="E196" s="27">
        <f>_xlfn.MAXIFS(Table2[Availability],Table2[Category],Table2[[#This Row],[Category]])</f>
        <v>3</v>
      </c>
      <c r="F196" s="27" t="b">
        <f>Table2[[#This Row],[Availability]] &gt;= 0.25*Table2[[#This Row],[Most availble in category]]</f>
        <v>1</v>
      </c>
      <c r="G196" s="27">
        <f>(Table2[[#This Row],[Protein (g)]] * 4 +Table2[[#This Row],[Fat, total (g)]] * 9 + Table2[[#This Row],[Carbohydrate (g)]] *4 )</f>
        <v>400</v>
      </c>
      <c r="H196" s="45">
        <f>'Nutritional input'!E78</f>
        <v>0</v>
      </c>
      <c r="I196" s="45">
        <f>'Nutritional input'!F78</f>
        <v>0</v>
      </c>
      <c r="J196" s="45">
        <f>'Nutritional input'!G78</f>
        <v>100</v>
      </c>
      <c r="K196" s="45">
        <f>'Nutritional input'!H78</f>
        <v>1</v>
      </c>
      <c r="L196" s="375">
        <f>IFERROR((_xlfn.XLOOKUP(Table2[[#This Row],[Item]],'Food costs - Input data'!C:C,'Food costs - Input data'!AE:AE)/Table2[[#This Row],[Edible portion]]) / (10*Table2[[#This Row],[Energy (kcal) per 100g edible portion]]),0)</f>
        <v>1.25</v>
      </c>
      <c r="M196" s="45" cm="1">
        <f t="array" ref="M196">SUMPRODUCT((Table2[Category]=Table2[[#This Row],[Category]])*(Table2[[#This Row],[Price per calorie]]&gt;Table2[Price per calorie]))+1</f>
        <v>4</v>
      </c>
      <c r="N196" s="45">
        <f>IF(Table2[[#This Row],[Widely available?]]=FALSE,1,0)</f>
        <v>0</v>
      </c>
      <c r="O196" s="45">
        <f>SUMIFS(Table2[Count false],Table2[Category],Table2[[#This Row],[Category]],Table2[Caloric content2],"&lt;"&amp;Table2[[#This Row],[Caloric content2]])</f>
        <v>0</v>
      </c>
      <c r="P196" s="73">
        <f>IF(Table2[[#This Row],[Widely available?]]=TRUE,Table2[[#This Row],[Caloric content2]]-Table2[[#This Row],[subtract]],0)</f>
        <v>4</v>
      </c>
      <c r="Q196" s="22" t="str">
        <f>IF(Table2[[#This Row],[Final rank]]&gt;0,Table2[[#This Row],[Category]]&amp;Table2[[#This Row],[Final rank]],"")</f>
        <v>Other4</v>
      </c>
    </row>
    <row r="197" spans="2:17" x14ac:dyDescent="0.2">
      <c r="B197" s="22" t="str">
        <f>'Food costs - Input data'!B60</f>
        <v>Other</v>
      </c>
      <c r="C197" s="22" t="str">
        <f>'Food costs - Input data'!C60</f>
        <v>Pine Apple Juice</v>
      </c>
      <c r="D197" s="27">
        <f>COUNTA('Food costs - Input data'!D60:AB60)</f>
        <v>3</v>
      </c>
      <c r="E197" s="27">
        <f>_xlfn.MAXIFS(Table2[Availability],Table2[Category],Table2[[#This Row],[Category]])</f>
        <v>3</v>
      </c>
      <c r="F197" s="27" t="b">
        <f>Table2[[#This Row],[Availability]] &gt;= 0.25*Table2[[#This Row],[Most availble in category]]</f>
        <v>1</v>
      </c>
      <c r="G197" s="27">
        <f>(Table2[[#This Row],[Protein (g)]] * 4 +Table2[[#This Row],[Fat, total (g)]] * 9 + Table2[[#This Row],[Carbohydrate (g)]] *4 )</f>
        <v>329.2</v>
      </c>
      <c r="H197" s="45">
        <f>'Nutritional input'!E79</f>
        <v>0.3</v>
      </c>
      <c r="I197" s="45">
        <f>'Nutritional input'!F79</f>
        <v>0</v>
      </c>
      <c r="J197" s="45">
        <f>'Nutritional input'!G79</f>
        <v>82</v>
      </c>
      <c r="K197" s="45">
        <f>'Nutritional input'!H79</f>
        <v>1</v>
      </c>
      <c r="L197" s="375">
        <f>IFERROR((_xlfn.XLOOKUP(Table2[[#This Row],[Item]],'Food costs - Input data'!C:C,'Food costs - Input data'!AE:AE)/Table2[[#This Row],[Edible portion]]) / (10*Table2[[#This Row],[Energy (kcal) per 100g edible portion]]),0)</f>
        <v>0.15188335358444716</v>
      </c>
      <c r="M197" s="45" cm="1">
        <f t="array" ref="M197">SUMPRODUCT((Table2[Category]=Table2[[#This Row],[Category]])*(Table2[[#This Row],[Price per calorie]]&gt;Table2[Price per calorie]))+1</f>
        <v>2</v>
      </c>
      <c r="N197" s="45">
        <f>IF(Table2[[#This Row],[Widely available?]]=FALSE,1,0)</f>
        <v>0</v>
      </c>
      <c r="O197" s="45">
        <f>SUMIFS(Table2[Count false],Table2[Category],Table2[[#This Row],[Category]],Table2[Caloric content2],"&lt;"&amp;Table2[[#This Row],[Caloric content2]])</f>
        <v>0</v>
      </c>
      <c r="P197" s="73">
        <f>IF(Table2[[#This Row],[Widely available?]]=TRUE,Table2[[#This Row],[Caloric content2]]-Table2[[#This Row],[subtract]],0)</f>
        <v>2</v>
      </c>
      <c r="Q197" s="22" t="str">
        <f>IF(Table2[[#This Row],[Final rank]]&gt;0,Table2[[#This Row],[Category]]&amp;Table2[[#This Row],[Final rank]],"")</f>
        <v>Other2</v>
      </c>
    </row>
    <row r="198" spans="2:17" x14ac:dyDescent="0.2">
      <c r="B198" s="22" t="str">
        <f>'Food costs - Input data'!B61</f>
        <v>Other</v>
      </c>
      <c r="C198" s="22" t="str">
        <f>'Food costs - Input data'!C61</f>
        <v>Non Alcoholic Kombucha</v>
      </c>
      <c r="D198" s="27">
        <f>COUNTA('Food costs - Input data'!D61:AB61)</f>
        <v>3</v>
      </c>
      <c r="E198" s="27">
        <f>_xlfn.MAXIFS(Table2[Availability],Table2[Category],Table2[[#This Row],[Category]])</f>
        <v>3</v>
      </c>
      <c r="F198" s="27" t="b">
        <f>Table2[[#This Row],[Availability]] &gt;= 0.25*Table2[[#This Row],[Most availble in category]]</f>
        <v>1</v>
      </c>
      <c r="G198" s="27">
        <f>(Table2[[#This Row],[Protein (g)]] * 4 +Table2[[#This Row],[Fat, total (g)]] * 9 + Table2[[#This Row],[Carbohydrate (g)]] *4 )</f>
        <v>0</v>
      </c>
      <c r="H198" s="45">
        <f>'Nutritional input'!E80</f>
        <v>0</v>
      </c>
      <c r="I198" s="45">
        <f>'Nutritional input'!F80</f>
        <v>0</v>
      </c>
      <c r="J198" s="45">
        <f>'Nutritional input'!G80</f>
        <v>0</v>
      </c>
      <c r="K198" s="45">
        <f>'Nutritional input'!H80</f>
        <v>1</v>
      </c>
      <c r="L198" s="375">
        <f>IFERROR((_xlfn.XLOOKUP(Table2[[#This Row],[Item]],'Food costs - Input data'!C:C,'Food costs - Input data'!AE:AE)/Table2[[#This Row],[Edible portion]]) / (10*Table2[[#This Row],[Energy (kcal) per 100g edible portion]]),0)</f>
        <v>0</v>
      </c>
      <c r="M198" s="45" cm="1">
        <f t="array" ref="M198">SUMPRODUCT((Table2[Category]=Table2[[#This Row],[Category]])*(Table2[[#This Row],[Price per calorie]]&gt;Table2[Price per calorie]))+1</f>
        <v>1</v>
      </c>
      <c r="N198" s="45">
        <f>IF(Table2[[#This Row],[Widely available?]]=FALSE,1,0)</f>
        <v>0</v>
      </c>
      <c r="O198" s="45">
        <f>SUMIFS(Table2[Count false],Table2[Category],Table2[[#This Row],[Category]],Table2[Caloric content2],"&lt;"&amp;Table2[[#This Row],[Caloric content2]])</f>
        <v>0</v>
      </c>
      <c r="P198" s="73">
        <f>IF(Table2[[#This Row],[Widely available?]]=TRUE,Table2[[#This Row],[Caloric content2]]-Table2[[#This Row],[subtract]],0)</f>
        <v>1</v>
      </c>
      <c r="Q198" s="22" t="str">
        <f>IF(Table2[[#This Row],[Final rank]]&gt;0,Table2[[#This Row],[Category]]&amp;Table2[[#This Row],[Final rank]],"")</f>
        <v>Other1</v>
      </c>
    </row>
    <row r="199" spans="2:17" x14ac:dyDescent="0.2">
      <c r="B199" s="22" t="str">
        <f>'Food costs - Input data'!B62</f>
        <v>Other</v>
      </c>
      <c r="C199" s="22" t="str">
        <f>'Food costs - Input data'!C62</f>
        <v>Non Alcoholic Kombucha</v>
      </c>
      <c r="D199" s="27">
        <f>COUNTA('Food costs - Input data'!D62:AB62)</f>
        <v>3</v>
      </c>
      <c r="E199" s="27">
        <f>_xlfn.MAXIFS(Table2[Availability],Table2[Category],Table2[[#This Row],[Category]])</f>
        <v>3</v>
      </c>
      <c r="F199" s="27" t="b">
        <f>Table2[[#This Row],[Availability]] &gt;= 0.25*Table2[[#This Row],[Most availble in category]]</f>
        <v>1</v>
      </c>
      <c r="G199" s="27">
        <f>(Table2[[#This Row],[Protein (g)]] * 4 +Table2[[#This Row],[Fat, total (g)]] * 9 + Table2[[#This Row],[Carbohydrate (g)]] *4 )</f>
        <v>245</v>
      </c>
      <c r="H199" s="45">
        <f>'Nutritional input'!E81</f>
        <v>10</v>
      </c>
      <c r="I199" s="45">
        <f>'Nutritional input'!F81</f>
        <v>5</v>
      </c>
      <c r="J199" s="45">
        <f>'Nutritional input'!G81</f>
        <v>40</v>
      </c>
      <c r="K199" s="45">
        <f>'Nutritional input'!H81</f>
        <v>1</v>
      </c>
      <c r="L199" s="375">
        <f>IFERROR((_xlfn.XLOOKUP(Table2[[#This Row],[Item]],'Food costs - Input data'!C:C,'Food costs - Input data'!AE:AE)/Table2[[#This Row],[Edible portion]]) / (10*Table2[[#This Row],[Energy (kcal) per 100g edible portion]]),0)</f>
        <v>0.40816326530612246</v>
      </c>
      <c r="M199" s="45" cm="1">
        <f t="array" ref="M199">SUMPRODUCT((Table2[Category]=Table2[[#This Row],[Category]])*(Table2[[#This Row],[Price per calorie]]&gt;Table2[Price per calorie]))+1</f>
        <v>3</v>
      </c>
      <c r="N199" s="45">
        <f>IF(Table2[[#This Row],[Widely available?]]=FALSE,1,0)</f>
        <v>0</v>
      </c>
      <c r="O199" s="45">
        <f>SUMIFS(Table2[Count false],Table2[Category],Table2[[#This Row],[Category]],Table2[Caloric content2],"&lt;"&amp;Table2[[#This Row],[Caloric content2]])</f>
        <v>0</v>
      </c>
      <c r="P199" s="73">
        <f>IF(Table2[[#This Row],[Widely available?]]=TRUE,Table2[[#This Row],[Caloric content2]]-Table2[[#This Row],[subtract]],0)</f>
        <v>3</v>
      </c>
      <c r="Q199" s="22" t="str">
        <f>IF(Table2[[#This Row],[Final rank]]&gt;0,Table2[[#This Row],[Category]]&amp;Table2[[#This Row],[Final rank]],"")</f>
        <v>Other3</v>
      </c>
    </row>
    <row r="200" spans="2:17" x14ac:dyDescent="0.2">
      <c r="B200" s="22" t="str">
        <f>'Food costs - Input data'!B63</f>
        <v>Other</v>
      </c>
      <c r="C200" s="22" t="str">
        <f>'Food costs - Input data'!C63</f>
        <v>Non Alcoholic Kombucha</v>
      </c>
      <c r="D200" s="27">
        <f>COUNTA('Food costs - Input data'!D63:AB63)</f>
        <v>3</v>
      </c>
      <c r="E200" s="27">
        <f>_xlfn.MAXIFS(Table2[Availability],Table2[Category],Table2[[#This Row],[Category]])</f>
        <v>3</v>
      </c>
      <c r="F200" s="27" t="b">
        <f>Table2[[#This Row],[Availability]] &gt;= 0.25*Table2[[#This Row],[Most availble in category]]</f>
        <v>1</v>
      </c>
      <c r="G200" s="27">
        <f>(Table2[[#This Row],[Protein (g)]] * 4 +Table2[[#This Row],[Fat, total (g)]] * 9 + Table2[[#This Row],[Carbohydrate (g)]] *4 )</f>
        <v>57</v>
      </c>
      <c r="H200" s="45">
        <f>'Nutritional input'!E82</f>
        <v>2</v>
      </c>
      <c r="I200" s="45">
        <f>'Nutritional input'!F82</f>
        <v>1</v>
      </c>
      <c r="J200" s="45">
        <f>'Nutritional input'!G82</f>
        <v>10</v>
      </c>
      <c r="K200" s="45">
        <f>'Nutritional input'!H82</f>
        <v>1</v>
      </c>
      <c r="L200" s="375">
        <f>IFERROR((_xlfn.XLOOKUP(Table2[[#This Row],[Item]],'Food costs - Input data'!C:C,'Food costs - Input data'!AE:AE)/Table2[[#This Row],[Edible portion]]) / (10*Table2[[#This Row],[Energy (kcal) per 100g edible portion]]),0)</f>
        <v>1.7543859649122806</v>
      </c>
      <c r="M200" s="45" cm="1">
        <f t="array" ref="M200">SUMPRODUCT((Table2[Category]=Table2[[#This Row],[Category]])*(Table2[[#This Row],[Price per calorie]]&gt;Table2[Price per calorie]))+1</f>
        <v>5</v>
      </c>
      <c r="N200" s="45">
        <f>IF(Table2[[#This Row],[Widely available?]]=FALSE,1,0)</f>
        <v>0</v>
      </c>
      <c r="O200" s="45">
        <f>SUMIFS(Table2[Count false],Table2[Category],Table2[[#This Row],[Category]],Table2[Caloric content2],"&lt;"&amp;Table2[[#This Row],[Caloric content2]])</f>
        <v>0</v>
      </c>
      <c r="P200" s="73">
        <f>IF(Table2[[#This Row],[Widely available?]]=TRUE,Table2[[#This Row],[Caloric content2]]-Table2[[#This Row],[subtract]],0)</f>
        <v>5</v>
      </c>
      <c r="Q200" s="22" t="str">
        <f>IF(Table2[[#This Row],[Final rank]]&gt;0,Table2[[#This Row],[Category]]&amp;Table2[[#This Row],[Final rank]],"")</f>
        <v>Other5</v>
      </c>
    </row>
    <row r="201" spans="2:17" x14ac:dyDescent="0.2">
      <c r="B201" s="60" t="s">
        <v>304</v>
      </c>
    </row>
    <row r="202" spans="2:17" x14ac:dyDescent="0.2">
      <c r="B202" s="22" t="s">
        <v>203</v>
      </c>
      <c r="C202" s="22">
        <v>1</v>
      </c>
    </row>
    <row r="203" spans="2:17" x14ac:dyDescent="0.2">
      <c r="B203" s="22" t="s">
        <v>204</v>
      </c>
      <c r="C203" s="22">
        <v>2</v>
      </c>
    </row>
    <row r="204" spans="2:17" x14ac:dyDescent="0.2">
      <c r="B204" s="22" t="s">
        <v>205</v>
      </c>
      <c r="C204" s="22">
        <v>3</v>
      </c>
    </row>
    <row r="205" spans="2:17" x14ac:dyDescent="0.2">
      <c r="B205" s="22" t="s">
        <v>238</v>
      </c>
      <c r="C205" s="22">
        <v>4</v>
      </c>
    </row>
    <row r="206" spans="2:17" x14ac:dyDescent="0.2">
      <c r="B206" s="22" t="s">
        <v>239</v>
      </c>
      <c r="C206" s="22">
        <v>5</v>
      </c>
    </row>
    <row r="209" spans="1:34" x14ac:dyDescent="0.2">
      <c r="B209" s="28" t="s">
        <v>344</v>
      </c>
      <c r="C209" s="28"/>
      <c r="D209" s="28"/>
      <c r="E209" s="28"/>
      <c r="F209" s="28"/>
      <c r="G209" s="28"/>
      <c r="H209" s="28"/>
      <c r="I209" s="28"/>
      <c r="J209" s="28"/>
      <c r="K209" s="28"/>
      <c r="L209" s="28"/>
      <c r="M209" s="28"/>
      <c r="N209" s="28"/>
      <c r="O209" s="28"/>
      <c r="P209" s="28"/>
      <c r="Q209" s="28"/>
      <c r="R209" s="28"/>
      <c r="S209" s="28"/>
      <c r="T209" s="28"/>
      <c r="U209" s="28"/>
      <c r="V209" s="28"/>
      <c r="W209" s="28"/>
      <c r="X209" s="28"/>
    </row>
    <row r="211" spans="1:34" ht="19" x14ac:dyDescent="0.25">
      <c r="B211" s="74" t="s">
        <v>311</v>
      </c>
    </row>
    <row r="212" spans="1:34" x14ac:dyDescent="0.2">
      <c r="H212" s="22" t="s">
        <v>496</v>
      </c>
      <c r="P212" s="22" t="s">
        <v>174</v>
      </c>
      <c r="W212" s="22" t="s">
        <v>175</v>
      </c>
      <c r="AB212" s="22" t="s">
        <v>312</v>
      </c>
    </row>
    <row r="213" spans="1:34" x14ac:dyDescent="0.2">
      <c r="K213" s="75" t="s">
        <v>187</v>
      </c>
      <c r="L213" s="76">
        <f>IF('3. Food costs'!D35-H235 &lt; 0, 0, '3. Food costs'!D35-H235)</f>
        <v>485.74161200000026</v>
      </c>
      <c r="R213" s="75" t="s">
        <v>187</v>
      </c>
      <c r="S213" s="76">
        <f>IF('3. Food costs'!D35-O235&lt;0,0,'3. Food costs'!D35-O235)</f>
        <v>89.398082237288691</v>
      </c>
      <c r="X213" s="75" t="s">
        <v>187</v>
      </c>
      <c r="Y213" s="77">
        <f>IF('3. Food costs'!D35-V235&lt;0,0,'3. Food costs'!D35-V235)</f>
        <v>0</v>
      </c>
    </row>
    <row r="214" spans="1:34" x14ac:dyDescent="0.2">
      <c r="F214" s="442" t="s">
        <v>612</v>
      </c>
      <c r="G214" s="442"/>
    </row>
    <row r="215" spans="1:34" x14ac:dyDescent="0.2">
      <c r="B215" s="60" t="str">
        <f>'Nutritional input'!C111</f>
        <v>Food group</v>
      </c>
      <c r="C215" s="60" t="str">
        <f>'Nutritional input'!D111</f>
        <v>Item</v>
      </c>
      <c r="D215" s="22" t="s">
        <v>240</v>
      </c>
      <c r="E215" s="60" t="s">
        <v>153</v>
      </c>
      <c r="F215" s="78" t="s">
        <v>186</v>
      </c>
      <c r="G215" s="78" t="s">
        <v>495</v>
      </c>
      <c r="H215" s="78" t="s">
        <v>36</v>
      </c>
      <c r="I215" s="60" t="s">
        <v>177</v>
      </c>
      <c r="J215" s="60" t="s">
        <v>168</v>
      </c>
      <c r="K215" s="60" t="s">
        <v>170</v>
      </c>
      <c r="L215" s="60" t="s">
        <v>183</v>
      </c>
      <c r="M215" s="60" t="s">
        <v>184</v>
      </c>
      <c r="N215" s="37" t="s">
        <v>188</v>
      </c>
      <c r="O215" s="37" t="s">
        <v>189</v>
      </c>
      <c r="P215" s="60" t="s">
        <v>176</v>
      </c>
      <c r="Q215" s="60" t="s">
        <v>169</v>
      </c>
      <c r="R215" s="79" t="s">
        <v>171</v>
      </c>
      <c r="S215" s="60" t="s">
        <v>172</v>
      </c>
      <c r="T215" s="60" t="s">
        <v>173</v>
      </c>
      <c r="U215" s="60" t="s">
        <v>190</v>
      </c>
      <c r="V215" s="60" t="s">
        <v>191</v>
      </c>
      <c r="W215" s="22" t="s">
        <v>178</v>
      </c>
      <c r="X215" s="22" t="s">
        <v>179</v>
      </c>
      <c r="Y215" s="22" t="s">
        <v>180</v>
      </c>
      <c r="Z215" s="22" t="s">
        <v>181</v>
      </c>
      <c r="AA215" s="22" t="s">
        <v>182</v>
      </c>
      <c r="AB215" s="60" t="s">
        <v>192</v>
      </c>
      <c r="AC215" s="22" t="s">
        <v>36</v>
      </c>
      <c r="AD215" s="22" t="s">
        <v>165</v>
      </c>
      <c r="AE215" s="22" t="s">
        <v>164</v>
      </c>
      <c r="AF215" s="22" t="s">
        <v>166</v>
      </c>
    </row>
    <row r="216" spans="1:34" x14ac:dyDescent="0.2">
      <c r="A216" s="22">
        <f>COUNTIFS($B$216:B216,B216)</f>
        <v>1</v>
      </c>
      <c r="B216" s="22" t="str">
        <f>'Nutritional input'!C112</f>
        <v>Cereals and Grains</v>
      </c>
      <c r="C216" s="22" t="str">
        <f>'Nutritional input'!D112</f>
        <v>Rice 2</v>
      </c>
      <c r="D216" s="45">
        <f>IF(ISBLANK('Nutritional input'!E112),A216,VLOOKUP('Nutritional input'!E112,'Background calculations'!$B$202:$C$206,2,FALSE))</f>
        <v>1</v>
      </c>
      <c r="E216" s="80">
        <f>_xlfn.XLOOKUP('3. Food costs'!C49,Table2[Item],Table2[Price per calorie],0)</f>
        <v>1.154068090017311</v>
      </c>
      <c r="F216" s="80">
        <f>'Nutritional input'!F112</f>
        <v>270</v>
      </c>
      <c r="G216" s="80">
        <f>'Nutritional input'!G112</f>
        <v>300</v>
      </c>
      <c r="H216" s="80">
        <f>F216*_xlfn.XLOOKUP('3. Food costs'!C49,Table2[Item],Table2[Energy (kcal) per 100g edible portion],0) / 100</f>
        <v>935.82</v>
      </c>
      <c r="I216" s="80">
        <f>IF(AND(E216&lt;&gt;0,OR(F216&lt;G216,G216=0,)), E216,"")</f>
        <v>1.154068090017311</v>
      </c>
      <c r="J216" s="80">
        <f>IFERROR(_xlfn.RANK.EQ(I216,$I$216:$I$234,1),0)</f>
        <v>3</v>
      </c>
      <c r="K216" s="377">
        <f t="shared" ref="K216:K234" si="2">IF(J216&lt;&gt;0,(MAX($J$216:$J$234)-(J216 - 1))/$J$235,0)</f>
        <v>0.11016949152542373</v>
      </c>
      <c r="L216" s="81">
        <f>IF($L$213&lt;0,0,K216*$L$213)</f>
        <v>53.513906406779689</v>
      </c>
      <c r="M216" s="80">
        <f>IFERROR(IF(AND(G216 &lt;&gt; 0,L216 / _xlfn.XLOOKUP('3. Food costs'!C49,Table2[Item],Table2[Energy (kcal) per 100g edible portion],0) * 100 &gt;G216 - F216),IF(G216-F216&lt;0,0,G216-F216), L216 / _xlfn.XLOOKUP('3. Food costs'!C49,Table2[Item],Table2[Energy (kcal) per 100g edible portion],0) * 100),0)</f>
        <v>15.439672939059342</v>
      </c>
      <c r="N216" s="80">
        <f>M216+F216</f>
        <v>285.43967293905934</v>
      </c>
      <c r="O216" s="80">
        <f>N216*_xlfn.XLOOKUP('3. Food costs'!C49,Table2[Item],Table2[Energy (kcal) per 100g edible portion],0) / 100</f>
        <v>989.33390640677976</v>
      </c>
      <c r="P216" s="80">
        <f>IF(AND(E216&lt;&gt;0,OR(N216&lt;G216,G216=0)),I216,"")</f>
        <v>1.154068090017311</v>
      </c>
      <c r="Q216" s="80">
        <f>IFERROR(_xlfn.RANK.EQ(P216,$P$216:$P$234,1),0)</f>
        <v>3</v>
      </c>
      <c r="R216" s="80">
        <f t="shared" ref="R216:R234" si="3">IF(Q216&lt;&gt;0,(MAX($Q$216:$Q$234)-(Q216 - 1))/$Q$235,0)</f>
        <v>0.17142857142857143</v>
      </c>
      <c r="S216" s="80">
        <f t="shared" ref="S216:S234" si="4">R216*$S$213</f>
        <v>15.325385526392347</v>
      </c>
      <c r="T216" s="80">
        <f>IFERROR(IF(AND(G216&lt;&gt; 0, (S216)/ _xlfn.XLOOKUP('3. Food costs'!C49,Table2[Item],Table2[Energy (kcal) per 100g edible portion],0) * 100 &gt;G216 - N216),IF(G216-N216&lt;0,0,G216-N216), (S216)/ _xlfn.XLOOKUP('3. Food costs'!C49,Table2[Item],Table2[Energy (kcal) per 100g edible portion],0) * 100),0)</f>
        <v>4.4216346008056391</v>
      </c>
      <c r="U216" s="80">
        <f>T216 + N216</f>
        <v>289.86130753986498</v>
      </c>
      <c r="V216" s="80">
        <f>U216*_xlfn.XLOOKUP('3. Food costs'!C49,Table2[Item],Table2[Energy (kcal) per 100g edible portion],0) / 100</f>
        <v>1004.6592919331721</v>
      </c>
      <c r="W216" s="80">
        <f>IF(AND(E216&lt;&gt;0,OR(U216&lt;G216,G216=0)),I216,"")</f>
        <v>1.154068090017311</v>
      </c>
      <c r="X216" s="80">
        <f t="shared" ref="X216:X234" si="5">IFERROR(_xlfn.RANK.EQ(W216,$W$216:$W$234,1),0)</f>
        <v>3</v>
      </c>
      <c r="Y216" s="80">
        <f t="shared" ref="Y216:Y234" si="6">IF(X216&lt;&gt;0,(MAX($X$216:$X$234)-(X216 - 1))/$W$235,0)</f>
        <v>0.18518518518518517</v>
      </c>
      <c r="Z216" s="80">
        <f>Y216 *$Y$213</f>
        <v>0</v>
      </c>
      <c r="AA216" s="80">
        <f>IFERROR(IF(AND(G216 &lt;&gt;0, Z216 / _xlfn.XLOOKUP('3. Food costs'!C49,Table2[Item],Table2[Energy (kcal) per 100g edible portion],0) * 100 &gt;G216 - U216),IF(G216-U216&lt;0,0,G216-U216), Z216 / _xlfn.XLOOKUP('3. Food costs'!C49,Table2[Item],Table2[Energy (kcal) per 100g edible portion],0) * 100),0)</f>
        <v>0</v>
      </c>
      <c r="AB216" s="82">
        <f t="shared" ref="AB216:AB234" si="7">AA216 + U216</f>
        <v>289.86130753986498</v>
      </c>
      <c r="AC216" s="73">
        <f>AB216*_xlfn.XLOOKUP(C216,Table2[Item],Table2[Energy (kcal) per 100g edible portion],0) / 100</f>
        <v>1004.6592919331721</v>
      </c>
      <c r="AD216" s="80">
        <f>AB216*_xlfn.XLOOKUP(C216,Table2[Item],Table2[Carbohydrate (g)],0) / 100</f>
        <v>226.6715424961744</v>
      </c>
      <c r="AE216" s="80">
        <f>AB216*_xlfn.XLOOKUP(C216,Table2[Item],Table2[Protein (g)],0) / 100</f>
        <v>20.580152835330413</v>
      </c>
      <c r="AF216" s="80">
        <f>AB216*_xlfn.XLOOKUP(C216,Table2[Item],Table2[Fat, total (g)],0) / 100</f>
        <v>1.7391678452391899</v>
      </c>
    </row>
    <row r="217" spans="1:34" x14ac:dyDescent="0.2">
      <c r="A217" s="22">
        <f>COUNTIFS($B$216:B217,B217)</f>
        <v>1</v>
      </c>
      <c r="B217" s="22" t="str">
        <f>'Nutritional input'!C113</f>
        <v>Prepared cereals</v>
      </c>
      <c r="C217" s="22" t="str">
        <f>'Nutritional input'!D113</f>
        <v>Bread</v>
      </c>
      <c r="D217" s="45">
        <f>IF(ISBLANK('Nutritional input'!E113),A217,VLOOKUP('Nutritional input'!E113,'Background calculations'!$B$202:$C$206,2,FALSE))</f>
        <v>3</v>
      </c>
      <c r="E217" s="80">
        <f>_xlfn.XLOOKUP('3. Food costs'!C50,Table2[Item],Table2[Price per calorie],0)</f>
        <v>2.1178282633808241</v>
      </c>
      <c r="F217" s="80">
        <f>'Nutritional input'!F113</f>
        <v>50</v>
      </c>
      <c r="G217" s="80">
        <f>'Nutritional input'!G113</f>
        <v>75</v>
      </c>
      <c r="H217" s="80">
        <f>F217*_xlfn.XLOOKUP('3. Food costs'!C50,Table2[Item],Table2[Energy (kcal) per 100g edible portion],0) / 100</f>
        <v>129.85</v>
      </c>
      <c r="I217" s="80">
        <f t="shared" ref="I217:I234" si="8">IF(AND(E217&lt;&gt;0,OR(F217&lt;G217,G217=0,)), E217,"")</f>
        <v>2.1178282633808241</v>
      </c>
      <c r="J217" s="80">
        <f t="shared" ref="J217:J234" si="9">IFERROR(_xlfn.RANK.EQ(I217,$I$216:$I$234,1),0)</f>
        <v>7</v>
      </c>
      <c r="K217" s="377">
        <f t="shared" si="2"/>
        <v>7.6271186440677971E-2</v>
      </c>
      <c r="L217" s="81">
        <f t="shared" ref="L217:L234" si="10">K217*$L$213</f>
        <v>37.04808905084748</v>
      </c>
      <c r="M217" s="80">
        <f>IFERROR(IF(AND(G217 &lt;&gt; 0,L217 / _xlfn.XLOOKUP('3. Food costs'!C50,Table2[Item],Table2[Energy (kcal) per 100g edible portion],0) * 100 &gt;G217 - F217),IF(G217-F217&lt;0,0,G217-F217), L217 / _xlfn.XLOOKUP('3. Food costs'!C50,Table2[Item],Table2[Energy (kcal) per 100g edible portion],0) * 100),0)</f>
        <v>14.265725472024442</v>
      </c>
      <c r="N217" s="80">
        <f t="shared" ref="N217:N234" si="11">M217+F217</f>
        <v>64.265725472024442</v>
      </c>
      <c r="O217" s="80">
        <f>N217*_xlfn.XLOOKUP('3. Food costs'!C50,Table2[Item],Table2[Energy (kcal) per 100g edible portion],0) / 100</f>
        <v>166.89808905084749</v>
      </c>
      <c r="P217" s="80">
        <f t="shared" ref="P217:P234" si="12">IF(AND(E217&lt;&gt;0,OR(N217&lt;G217,G217=0)),I217,"")</f>
        <v>2.1178282633808241</v>
      </c>
      <c r="Q217" s="80">
        <f t="shared" ref="Q217:Q234" si="13">IFERROR(_xlfn.RANK.EQ(P217,$P$216:$P$234,1),0)</f>
        <v>5</v>
      </c>
      <c r="R217" s="80">
        <f t="shared" si="3"/>
        <v>0.11428571428571428</v>
      </c>
      <c r="S217" s="80">
        <f t="shared" si="4"/>
        <v>10.216923684261564</v>
      </c>
      <c r="T217" s="80">
        <f>IFERROR(IF(AND(G217&lt;&gt; 0, (S217)/ _xlfn.XLOOKUP('3. Food costs'!C50,Table2[Item],Table2[Energy (kcal) per 100g edible portion],0) * 100 &gt;G217 - N217),IF(G217-N217&lt;0,0,G217-N217), (S217)/ _xlfn.XLOOKUP('3. Food costs'!C50,Table2[Item],Table2[Energy (kcal) per 100g edible portion],0) * 100),0)</f>
        <v>3.9341254078789238</v>
      </c>
      <c r="U217" s="80">
        <f t="shared" ref="U217:U234" si="14">T217 + N217</f>
        <v>68.199850879903366</v>
      </c>
      <c r="V217" s="80">
        <f>U217*_xlfn.XLOOKUP('3. Food costs'!C50,Table2[Item],Table2[Energy (kcal) per 100g edible portion],0) / 100</f>
        <v>177.11501273510905</v>
      </c>
      <c r="W217" s="80">
        <f t="shared" ref="W217:W234" si="15">IF(AND(E217&lt;&gt;0,OR(U217&lt;G217,G217=0)),I217,"")</f>
        <v>2.1178282633808241</v>
      </c>
      <c r="X217" s="80">
        <f t="shared" si="5"/>
        <v>5</v>
      </c>
      <c r="Y217" s="80">
        <f t="shared" si="6"/>
        <v>0.1111111111111111</v>
      </c>
      <c r="Z217" s="80">
        <f t="shared" ref="Z217:Z234" si="16">Y217 *$Y$213</f>
        <v>0</v>
      </c>
      <c r="AA217" s="80">
        <f>IFERROR(IF(AND(G217 &lt;&gt;0, Z217 / _xlfn.XLOOKUP('3. Food costs'!C50,Table2[Item],Table2[Energy (kcal) per 100g edible portion],0) * 100 &gt;G217 - U217),IF(G217-U217&lt;0,0,G217-U217), Z217 / _xlfn.XLOOKUP('3. Food costs'!C50,Table2[Item],Table2[Energy (kcal) per 100g edible portion],0) * 100),0)</f>
        <v>0</v>
      </c>
      <c r="AB217" s="82">
        <f t="shared" si="7"/>
        <v>68.199850879903366</v>
      </c>
      <c r="AC217" s="73">
        <f>AB217*_xlfn.XLOOKUP(C217,Table2[Item],Table2[Energy (kcal) per 100g edible portion],0) / 100</f>
        <v>177.11501273510905</v>
      </c>
      <c r="AD217" s="80">
        <f>AB217*_xlfn.XLOOKUP(C217,Table2[Item],Table2[Carbohydrate (g)],0) / 100</f>
        <v>33.41792693115265</v>
      </c>
      <c r="AE217" s="80">
        <f>AB217*_xlfn.XLOOKUP(C217,Table2[Item],Table2[Protein (g)],0) / 100</f>
        <v>5.796987324791786</v>
      </c>
      <c r="AF217" s="80">
        <f>AB217*_xlfn.XLOOKUP(C217,Table2[Item],Table2[Fat, total (g)],0) / 100</f>
        <v>2.250595079036811</v>
      </c>
      <c r="AH217" s="367">
        <f>(AC216+AC217)/AC235</f>
        <v>0.4269460962401232</v>
      </c>
    </row>
    <row r="218" spans="1:34" x14ac:dyDescent="0.2">
      <c r="A218" s="22">
        <f>COUNTIFS($B$216:B218,B218)</f>
        <v>1</v>
      </c>
      <c r="B218" s="22" t="str">
        <f>'Nutritional input'!C114</f>
        <v>Roots &amp; tubers (starchy)</v>
      </c>
      <c r="C218" s="22" t="str">
        <f>'Nutritional input'!D114</f>
        <v>Cassava</v>
      </c>
      <c r="D218" s="45">
        <f>IF(ISBLANK('Nutritional input'!E114),A218,VLOOKUP('Nutritional input'!E114,'Background calculations'!$B$202:$C$206,2,FALSE))</f>
        <v>1</v>
      </c>
      <c r="E218" s="80">
        <f>_xlfn.XLOOKUP('3. Food costs'!C51,Table2[Item],Table2[Price per calorie],0)</f>
        <v>1.5556938394523956</v>
      </c>
      <c r="F218" s="80">
        <f>'Nutritional input'!F114</f>
        <v>200</v>
      </c>
      <c r="G218" s="80">
        <f>'Nutritional input'!G114</f>
        <v>300</v>
      </c>
      <c r="H218" s="80">
        <f>F218*_xlfn.XLOOKUP('3. Food costs'!C51,Table2[Item],Table2[Energy (kcal) per 100g edible portion],0) / 100</f>
        <v>321.40000000000003</v>
      </c>
      <c r="I218" s="80">
        <f t="shared" si="8"/>
        <v>1.5556938394523956</v>
      </c>
      <c r="J218" s="80">
        <f t="shared" si="9"/>
        <v>5</v>
      </c>
      <c r="K218" s="377">
        <f t="shared" si="2"/>
        <v>9.3220338983050849E-2</v>
      </c>
      <c r="L218" s="81">
        <f t="shared" si="10"/>
        <v>45.280997728813581</v>
      </c>
      <c r="M218" s="80">
        <f>IFERROR(IF(AND(G218 &lt;&gt; 0,L218 / _xlfn.XLOOKUP('3. Food costs'!C51,Table2[Item],Table2[Energy (kcal) per 100g edible portion],0) * 100 &gt;G218 - F218),IF(G218-F218&lt;0,0,G218-F218), L218 / _xlfn.XLOOKUP('3. Food costs'!C51,Table2[Item],Table2[Energy (kcal) per 100g edible portion],0) * 100),0)</f>
        <v>28.177347684389282</v>
      </c>
      <c r="N218" s="80">
        <f t="shared" si="11"/>
        <v>228.17734768438928</v>
      </c>
      <c r="O218" s="80">
        <f>N218*_xlfn.XLOOKUP('3. Food costs'!C51,Table2[Item],Table2[Energy (kcal) per 100g edible portion],0) / 100</f>
        <v>366.68099772881362</v>
      </c>
      <c r="P218" s="80">
        <f t="shared" si="12"/>
        <v>1.5556938394523956</v>
      </c>
      <c r="Q218" s="80">
        <f t="shared" si="13"/>
        <v>4</v>
      </c>
      <c r="R218" s="80">
        <f t="shared" si="3"/>
        <v>0.14285714285714285</v>
      </c>
      <c r="S218" s="80">
        <f t="shared" si="4"/>
        <v>12.771154605326956</v>
      </c>
      <c r="T218" s="80">
        <f>IFERROR(IF(AND(G218&lt;&gt; 0, (S218)/ _xlfn.XLOOKUP('3. Food costs'!C51,Table2[Item],Table2[Energy (kcal) per 100g edible portion],0) * 100 &gt;G218 - N218),IF(G218-N218&lt;0,0,G218-N218), (S218)/ _xlfn.XLOOKUP('3. Food costs'!C51,Table2[Item],Table2[Energy (kcal) per 100g edible portion],0) * 100),0)</f>
        <v>7.9472026168804941</v>
      </c>
      <c r="U218" s="80">
        <f t="shared" si="14"/>
        <v>236.12455030126978</v>
      </c>
      <c r="V218" s="80">
        <f>U218*_xlfn.XLOOKUP('3. Food costs'!C51,Table2[Item],Table2[Energy (kcal) per 100g edible portion],0) / 100</f>
        <v>379.45215233414058</v>
      </c>
      <c r="W218" s="80">
        <f t="shared" si="15"/>
        <v>1.5556938394523956</v>
      </c>
      <c r="X218" s="80">
        <f t="shared" si="5"/>
        <v>4</v>
      </c>
      <c r="Y218" s="80">
        <f t="shared" si="6"/>
        <v>0.14814814814814814</v>
      </c>
      <c r="Z218" s="80">
        <f t="shared" si="16"/>
        <v>0</v>
      </c>
      <c r="AA218" s="80">
        <f>IFERROR(IF(AND(G218 &lt;&gt;0, Z218 / _xlfn.XLOOKUP('3. Food costs'!C51,Table2[Item],Table2[Energy (kcal) per 100g edible portion],0) * 100 &gt;G218 - U218),IF(G218-U218&lt;0,0,G218-U218), Z218 / _xlfn.XLOOKUP('3. Food costs'!C51,Table2[Item],Table2[Energy (kcal) per 100g edible portion],0) * 100),0)</f>
        <v>0</v>
      </c>
      <c r="AB218" s="82">
        <f t="shared" si="7"/>
        <v>236.12455030126978</v>
      </c>
      <c r="AC218" s="73">
        <f>AB218*_xlfn.XLOOKUP(C218,Table2[Item],Table2[Energy (kcal) per 100g edible portion],0) / 100</f>
        <v>379.45215233414058</v>
      </c>
      <c r="AD218" s="80">
        <f>AB218*_xlfn.XLOOKUP(C218,Table2[Item],Table2[Carbohydrate (g)],0) / 100</f>
        <v>89.963453664783799</v>
      </c>
      <c r="AE218" s="80">
        <f>AB218*_xlfn.XLOOKUP(C218,Table2[Item],Table2[Protein (g)],0) / 100</f>
        <v>3.3057437042177766</v>
      </c>
      <c r="AF218" s="80">
        <f>AB218*_xlfn.XLOOKUP(C218,Table2[Item],Table2[Fat, total (g)],0) / 100</f>
        <v>0.70837365090380933</v>
      </c>
    </row>
    <row r="219" spans="1:34" x14ac:dyDescent="0.2">
      <c r="A219" s="22">
        <f>COUNTIFS($B$216:B219,B219)</f>
        <v>1</v>
      </c>
      <c r="B219" s="22" t="str">
        <f>'Nutritional input'!C115</f>
        <v>Starchy fruit or vegetable</v>
      </c>
      <c r="C219" s="22" t="str">
        <f>'Nutritional input'!D115</f>
        <v>Matooke</v>
      </c>
      <c r="D219" s="45">
        <f>IF(ISBLANK('Nutritional input'!E115),A219,VLOOKUP('Nutritional input'!E115,'Background calculations'!$B$202:$C$206,2,FALSE))</f>
        <v>1</v>
      </c>
      <c r="E219" s="80">
        <f>_xlfn.XLOOKUP('3. Food costs'!C52,Table2[Item],Table2[Price per calorie],0)</f>
        <v>2.2026431718061672</v>
      </c>
      <c r="F219" s="80">
        <f>'Nutritional input'!F115</f>
        <v>80</v>
      </c>
      <c r="G219" s="80">
        <f>'Nutritional input'!G115</f>
        <v>160</v>
      </c>
      <c r="H219" s="80">
        <f>F219*_xlfn.XLOOKUP('3. Food costs'!C52,Table2[Item],Table2[Energy (kcal) per 100g edible portion],0) / 100</f>
        <v>36.32</v>
      </c>
      <c r="I219" s="80">
        <f t="shared" si="8"/>
        <v>2.2026431718061672</v>
      </c>
      <c r="J219" s="80">
        <f t="shared" si="9"/>
        <v>8</v>
      </c>
      <c r="K219" s="377">
        <f t="shared" si="2"/>
        <v>6.7796610169491525E-2</v>
      </c>
      <c r="L219" s="81">
        <f t="shared" si="10"/>
        <v>32.931634711864426</v>
      </c>
      <c r="M219" s="80">
        <f>IFERROR(IF(AND(G219 &lt;&gt; 0,L219 / _xlfn.XLOOKUP('3. Food costs'!C52,Table2[Item],Table2[Energy (kcal) per 100g edible portion],0) * 100 &gt;G219 - F219),IF(G219-F219&lt;0,0,G219-F219), L219 / _xlfn.XLOOKUP('3. Food costs'!C52,Table2[Item],Table2[Energy (kcal) per 100g edible portion],0) * 100),0)</f>
        <v>72.536640334503147</v>
      </c>
      <c r="N219" s="80">
        <f t="shared" si="11"/>
        <v>152.53664033450315</v>
      </c>
      <c r="O219" s="80">
        <f>N219*_xlfn.XLOOKUP('3. Food costs'!C52,Table2[Item],Table2[Energy (kcal) per 100g edible portion],0) / 100</f>
        <v>69.251634711864426</v>
      </c>
      <c r="P219" s="80">
        <f t="shared" si="12"/>
        <v>2.2026431718061672</v>
      </c>
      <c r="Q219" s="80">
        <f t="shared" si="13"/>
        <v>6</v>
      </c>
      <c r="R219" s="80">
        <f t="shared" si="3"/>
        <v>8.5714285714285715E-2</v>
      </c>
      <c r="S219" s="80">
        <f t="shared" si="4"/>
        <v>7.6626927631961737</v>
      </c>
      <c r="T219" s="80">
        <f>IFERROR(IF(AND(G219&lt;&gt; 0, (S219)/ _xlfn.XLOOKUP('3. Food costs'!C52,Table2[Item],Table2[Energy (kcal) per 100g edible portion],0) * 100 &gt;G219 - N219),IF(G219-N219&lt;0,0,G219-N219), (S219)/ _xlfn.XLOOKUP('3. Food costs'!C52,Table2[Item],Table2[Energy (kcal) per 100g edible portion],0) * 100),0)</f>
        <v>7.4633596654968528</v>
      </c>
      <c r="U219" s="80">
        <f t="shared" si="14"/>
        <v>160</v>
      </c>
      <c r="V219" s="80">
        <f>U219*_xlfn.XLOOKUP('3. Food costs'!C52,Table2[Item],Table2[Energy (kcal) per 100g edible portion],0) / 100</f>
        <v>72.64</v>
      </c>
      <c r="W219" s="80" t="str">
        <f t="shared" si="15"/>
        <v/>
      </c>
      <c r="X219" s="80">
        <f t="shared" si="5"/>
        <v>0</v>
      </c>
      <c r="Y219" s="80">
        <f t="shared" si="6"/>
        <v>0</v>
      </c>
      <c r="Z219" s="80">
        <f t="shared" si="16"/>
        <v>0</v>
      </c>
      <c r="AA219" s="80">
        <f>IFERROR(IF(AND(G219 &lt;&gt;0, Z219 / _xlfn.XLOOKUP('3. Food costs'!C52,Table2[Item],Table2[Energy (kcal) per 100g edible portion],0) * 100 &gt;G219 - U219),IF(G219-U219&lt;0,0,G219-U219), Z219 / _xlfn.XLOOKUP('3. Food costs'!C52,Table2[Item],Table2[Energy (kcal) per 100g edible portion],0) * 100),0)</f>
        <v>0</v>
      </c>
      <c r="AB219" s="82">
        <f t="shared" si="7"/>
        <v>160</v>
      </c>
      <c r="AC219" s="73">
        <f>AB219*_xlfn.XLOOKUP(C219,Table2[Item],Table2[Energy (kcal) per 100g edible portion],0) / 100</f>
        <v>72.64</v>
      </c>
      <c r="AD219" s="80">
        <f>AB219*_xlfn.XLOOKUP(C219,Table2[Item],Table2[Carbohydrate (g)],0) / 100</f>
        <v>16</v>
      </c>
      <c r="AE219" s="80">
        <f>AB219*_xlfn.XLOOKUP(C219,Table2[Item],Table2[Protein (g)],0) / 100</f>
        <v>1.44</v>
      </c>
      <c r="AF219" s="80">
        <f>AB219*_xlfn.XLOOKUP(C219,Table2[Item],Table2[Fat, total (g)],0) / 100</f>
        <v>0.32</v>
      </c>
    </row>
    <row r="220" spans="1:34" x14ac:dyDescent="0.2">
      <c r="A220" s="22">
        <f>COUNTIFS($B$216:B220,B220)</f>
        <v>1</v>
      </c>
      <c r="B220" s="22" t="str">
        <f>'Nutritional input'!C116</f>
        <v>Pulses, legumes, beans</v>
      </c>
      <c r="C220" s="22" t="str">
        <f>'Nutritional input'!D116</f>
        <v>Groundnuts</v>
      </c>
      <c r="D220" s="45">
        <f>IF(ISBLANK('Nutritional input'!E116),A220,VLOOKUP('Nutritional input'!E116,'Background calculations'!$B$202:$C$206,2,FALSE))</f>
        <v>1</v>
      </c>
      <c r="E220" s="80">
        <f>_xlfn.XLOOKUP('3. Food costs'!C53,Table2[Item],Table2[Price per calorie],0)</f>
        <v>1.1263106159895151</v>
      </c>
      <c r="F220" s="80">
        <f>'Nutritional input'!F116</f>
        <v>28</v>
      </c>
      <c r="G220" s="80">
        <f>'Nutritional input'!G116</f>
        <v>84</v>
      </c>
      <c r="H220" s="80">
        <f>F220*_xlfn.XLOOKUP('3. Food costs'!C53,Table2[Item],Table2[Energy (kcal) per 100g edible portion],0) / 100</f>
        <v>170.91200000000001</v>
      </c>
      <c r="I220" s="80">
        <f t="shared" si="8"/>
        <v>1.1263106159895151</v>
      </c>
      <c r="J220" s="80">
        <f t="shared" si="9"/>
        <v>1</v>
      </c>
      <c r="K220" s="377">
        <f t="shared" si="2"/>
        <v>0.1271186440677966</v>
      </c>
      <c r="L220" s="81">
        <f t="shared" si="10"/>
        <v>61.746815084745791</v>
      </c>
      <c r="M220" s="80">
        <f>IFERROR(IF(AND(G220 &lt;&gt; 0,L220 / _xlfn.XLOOKUP('3. Food costs'!C53,Table2[Item],Table2[Energy (kcal) per 100g edible portion],0) * 100 &gt;G220 - F220),IF(G220-F220&lt;0,0,G220-F220), L220 / _xlfn.XLOOKUP('3. Food costs'!C53,Table2[Item],Table2[Energy (kcal) per 100g edible portion],0) * 100),0)</f>
        <v>10.115795393962285</v>
      </c>
      <c r="N220" s="80">
        <f t="shared" si="11"/>
        <v>38.115795393962287</v>
      </c>
      <c r="O220" s="80">
        <f>N220*_xlfn.XLOOKUP('3. Food costs'!C53,Table2[Item],Table2[Energy (kcal) per 100g edible portion],0) / 100</f>
        <v>232.65881508474581</v>
      </c>
      <c r="P220" s="80">
        <f t="shared" si="12"/>
        <v>1.1263106159895151</v>
      </c>
      <c r="Q220" s="80">
        <f t="shared" si="13"/>
        <v>1</v>
      </c>
      <c r="R220" s="80">
        <f t="shared" si="3"/>
        <v>0.22857142857142856</v>
      </c>
      <c r="S220" s="80">
        <f t="shared" si="4"/>
        <v>20.433847368523129</v>
      </c>
      <c r="T220" s="80">
        <f>IFERROR(IF(AND(G220&lt;&gt; 0, (S220)/ _xlfn.XLOOKUP('3. Food costs'!C53,Table2[Item],Table2[Energy (kcal) per 100g edible portion],0) * 100 &gt;G220 - N220),IF(G220-N220&lt;0,0,G220-N220), (S220)/ _xlfn.XLOOKUP('3. Food costs'!C53,Table2[Item],Table2[Energy (kcal) per 100g edible portion],0) * 100),0)</f>
        <v>3.3476158860621115</v>
      </c>
      <c r="U220" s="80">
        <f t="shared" si="14"/>
        <v>41.463411280024395</v>
      </c>
      <c r="V220" s="80">
        <f>U220*_xlfn.XLOOKUP('3. Food costs'!C53,Table2[Item],Table2[Energy (kcal) per 100g edible portion],0) / 100</f>
        <v>253.0926624532689</v>
      </c>
      <c r="W220" s="80">
        <f t="shared" si="15"/>
        <v>1.1263106159895151</v>
      </c>
      <c r="X220" s="80">
        <f t="shared" si="5"/>
        <v>1</v>
      </c>
      <c r="Y220" s="80">
        <f t="shared" si="6"/>
        <v>0.25925925925925924</v>
      </c>
      <c r="Z220" s="80">
        <f t="shared" si="16"/>
        <v>0</v>
      </c>
      <c r="AA220" s="80">
        <f>IFERROR(IF(AND(G220 &lt;&gt;0, Z220 / _xlfn.XLOOKUP('3. Food costs'!C53,Table2[Item],Table2[Energy (kcal) per 100g edible portion],0) * 100 &gt;G220 - U220),IF(G220-U220&lt;0,0,G220-U220), Z220 / _xlfn.XLOOKUP('3. Food costs'!C53,Table2[Item],Table2[Energy (kcal) per 100g edible portion],0) * 100),0)</f>
        <v>0</v>
      </c>
      <c r="AB220" s="82">
        <f t="shared" si="7"/>
        <v>41.463411280024395</v>
      </c>
      <c r="AC220" s="73">
        <f>AB220*_xlfn.XLOOKUP(C220,Table2[Item],Table2[Energy (kcal) per 100g edible portion],0) / 100</f>
        <v>253.0926624532689</v>
      </c>
      <c r="AD220" s="80">
        <f>AB220*_xlfn.XLOOKUP(C220,Table2[Item],Table2[Carbohydrate (g)],0) / 100</f>
        <v>6.6756092160839282</v>
      </c>
      <c r="AE220" s="80">
        <f>AB220*_xlfn.XLOOKUP(C220,Table2[Item],Table2[Protein (g)],0) / 100</f>
        <v>10.697560110246295</v>
      </c>
      <c r="AF220" s="80">
        <f>AB220*_xlfn.XLOOKUP(C220,Table2[Item],Table2[Fat, total (g)],0) / 100</f>
        <v>20.399998349772005</v>
      </c>
    </row>
    <row r="221" spans="1:34" x14ac:dyDescent="0.2">
      <c r="A221" s="22">
        <f>COUNTIFS($B$216:B221,B221)</f>
        <v>2</v>
      </c>
      <c r="B221" s="22" t="str">
        <f>'Nutritional input'!C117</f>
        <v>Pulses, legumes, beans</v>
      </c>
      <c r="C221" s="22" t="str">
        <f>'Nutritional input'!D117</f>
        <v>Groundnuts</v>
      </c>
      <c r="D221" s="45">
        <f>IF(ISBLANK('Nutritional input'!E117),A221,VLOOKUP('Nutritional input'!E117,'Background calculations'!$B$202:$C$206,2,FALSE))</f>
        <v>1</v>
      </c>
      <c r="E221" s="80">
        <f>_xlfn.XLOOKUP('3. Food costs'!C54,Table2[Item],Table2[Price per calorie],0)</f>
        <v>1.1263106159895151</v>
      </c>
      <c r="F221" s="80">
        <f>'Nutritional input'!F117</f>
        <v>28</v>
      </c>
      <c r="G221" s="80">
        <f>'Nutritional input'!G117</f>
        <v>84</v>
      </c>
      <c r="H221" s="80">
        <f>F221*_xlfn.XLOOKUP('3. Food costs'!C54,Table2[Item],Table2[Energy (kcal) per 100g edible portion],0) / 100</f>
        <v>170.91200000000001</v>
      </c>
      <c r="I221" s="80">
        <f t="shared" si="8"/>
        <v>1.1263106159895151</v>
      </c>
      <c r="J221" s="80">
        <f t="shared" si="9"/>
        <v>1</v>
      </c>
      <c r="K221" s="377">
        <f t="shared" si="2"/>
        <v>0.1271186440677966</v>
      </c>
      <c r="L221" s="81">
        <f t="shared" si="10"/>
        <v>61.746815084745791</v>
      </c>
      <c r="M221" s="80">
        <f>IFERROR(IF(AND(G221 &lt;&gt; 0,L221 / _xlfn.XLOOKUP('3. Food costs'!C54,Table2[Item],Table2[Energy (kcal) per 100g edible portion],0) * 100 &gt;G221 - F221),IF(G221-F221&lt;0,0,G221-F221), L221 / _xlfn.XLOOKUP('3. Food costs'!C54,Table2[Item],Table2[Energy (kcal) per 100g edible portion],0) * 100),0)</f>
        <v>10.115795393962285</v>
      </c>
      <c r="N221" s="80">
        <f t="shared" si="11"/>
        <v>38.115795393962287</v>
      </c>
      <c r="O221" s="80">
        <f>N221*_xlfn.XLOOKUP('3. Food costs'!C54,Table2[Item],Table2[Energy (kcal) per 100g edible portion],0) / 100</f>
        <v>232.65881508474581</v>
      </c>
      <c r="P221" s="80">
        <f t="shared" si="12"/>
        <v>1.1263106159895151</v>
      </c>
      <c r="Q221" s="80">
        <f t="shared" si="13"/>
        <v>1</v>
      </c>
      <c r="R221" s="80">
        <f t="shared" si="3"/>
        <v>0.22857142857142856</v>
      </c>
      <c r="S221" s="80">
        <f t="shared" si="4"/>
        <v>20.433847368523129</v>
      </c>
      <c r="T221" s="80">
        <f>IFERROR(IF(AND(G221&lt;&gt; 0, (S221)/ _xlfn.XLOOKUP('3. Food costs'!C54,Table2[Item],Table2[Energy (kcal) per 100g edible portion],0) * 100 &gt;G221 - N221),IF(G221-N221&lt;0,0,G221-N221), (S221)/ _xlfn.XLOOKUP('3. Food costs'!C54,Table2[Item],Table2[Energy (kcal) per 100g edible portion],0) * 100),0)</f>
        <v>3.3476158860621115</v>
      </c>
      <c r="U221" s="80">
        <f t="shared" si="14"/>
        <v>41.463411280024395</v>
      </c>
      <c r="V221" s="80">
        <f>U221*_xlfn.XLOOKUP('3. Food costs'!C54,Table2[Item],Table2[Energy (kcal) per 100g edible portion],0) / 100</f>
        <v>253.0926624532689</v>
      </c>
      <c r="W221" s="80">
        <f t="shared" si="15"/>
        <v>1.1263106159895151</v>
      </c>
      <c r="X221" s="80">
        <f t="shared" si="5"/>
        <v>1</v>
      </c>
      <c r="Y221" s="80">
        <f t="shared" si="6"/>
        <v>0.25925925925925924</v>
      </c>
      <c r="Z221" s="80">
        <f t="shared" si="16"/>
        <v>0</v>
      </c>
      <c r="AA221" s="80">
        <f>IFERROR(IF(AND(G221 &lt;&gt;0, Z221 / _xlfn.XLOOKUP('3. Food costs'!C54,Table2[Item],Table2[Energy (kcal) per 100g edible portion],0) * 100 &gt;G221 - U221),IF(G221-U221&lt;0,0,G221-U221), Z221 / _xlfn.XLOOKUP('3. Food costs'!C54,Table2[Item],Table2[Energy (kcal) per 100g edible portion],0) * 100),0)</f>
        <v>0</v>
      </c>
      <c r="AB221" s="82">
        <f t="shared" si="7"/>
        <v>41.463411280024395</v>
      </c>
      <c r="AC221" s="73">
        <f>AB221*_xlfn.XLOOKUP(C221,Table2[Item],Table2[Energy (kcal) per 100g edible portion],0) / 100</f>
        <v>253.0926624532689</v>
      </c>
      <c r="AD221" s="80">
        <f>AB221*_xlfn.XLOOKUP(C221,Table2[Item],Table2[Carbohydrate (g)],0) / 100</f>
        <v>6.6756092160839282</v>
      </c>
      <c r="AE221" s="80">
        <f>AB221*_xlfn.XLOOKUP(C221,Table2[Item],Table2[Protein (g)],0) / 100</f>
        <v>10.697560110246295</v>
      </c>
      <c r="AF221" s="80">
        <f>AB221*_xlfn.XLOOKUP(C221,Table2[Item],Table2[Fat, total (g)],0) / 100</f>
        <v>20.399998349772005</v>
      </c>
    </row>
    <row r="222" spans="1:34" x14ac:dyDescent="0.2">
      <c r="A222" s="22">
        <f>COUNTIFS($B$216:B222,B222)</f>
        <v>1</v>
      </c>
      <c r="B222" s="22" t="str">
        <f>'Nutritional input'!C118</f>
        <v>Dairy</v>
      </c>
      <c r="C222" s="22" t="str">
        <f>'Nutritional input'!D118</f>
        <v>Youghurt</v>
      </c>
      <c r="D222" s="45">
        <f>IF(ISBLANK('Nutritional input'!E118),A222,VLOOKUP('Nutritional input'!E118,'Background calculations'!$B$202:$C$206,2,FALSE))</f>
        <v>2</v>
      </c>
      <c r="E222" s="80">
        <f>_xlfn.XLOOKUP('3. Food costs'!C55,Table2[Item],Table2[Price per calorie],0)</f>
        <v>2.6666666666666665</v>
      </c>
      <c r="F222" s="80">
        <f>'Nutritional input'!F118</f>
        <v>60</v>
      </c>
      <c r="G222" s="80">
        <f>'Nutritional input'!G118</f>
        <v>60</v>
      </c>
      <c r="H222" s="80">
        <f>F222*_xlfn.XLOOKUP('3. Food costs'!C55,Table2[Item],Table2[Energy (kcal) per 100g edible portion],0) / 100</f>
        <v>37.5</v>
      </c>
      <c r="I222" s="80" t="str">
        <f t="shared" si="8"/>
        <v/>
      </c>
      <c r="J222" s="80">
        <f t="shared" si="9"/>
        <v>0</v>
      </c>
      <c r="K222" s="377">
        <f t="shared" si="2"/>
        <v>0</v>
      </c>
      <c r="L222" s="81">
        <f t="shared" si="10"/>
        <v>0</v>
      </c>
      <c r="M222" s="80">
        <f>IFERROR(IF(AND(G222 &lt;&gt; 0,L222 / _xlfn.XLOOKUP('3. Food costs'!C55,Table2[Item],Table2[Energy (kcal) per 100g edible portion],0) * 100 &gt;G222 - F222),IF(G222-F222&lt;0,0,G222-F222), L222 / _xlfn.XLOOKUP('3. Food costs'!C55,Table2[Item],Table2[Energy (kcal) per 100g edible portion],0) * 100),0)</f>
        <v>0</v>
      </c>
      <c r="N222" s="80">
        <f t="shared" si="11"/>
        <v>60</v>
      </c>
      <c r="O222" s="80">
        <f>N222*_xlfn.XLOOKUP('3. Food costs'!C55,Table2[Item],Table2[Energy (kcal) per 100g edible portion],0) / 100</f>
        <v>37.5</v>
      </c>
      <c r="P222" s="80" t="str">
        <f t="shared" si="12"/>
        <v/>
      </c>
      <c r="Q222" s="80">
        <f t="shared" si="13"/>
        <v>0</v>
      </c>
      <c r="R222" s="80">
        <f t="shared" si="3"/>
        <v>0</v>
      </c>
      <c r="S222" s="80">
        <f t="shared" si="4"/>
        <v>0</v>
      </c>
      <c r="T222" s="80">
        <f>IFERROR(IF(AND(G222&lt;&gt; 0, (S222)/ _xlfn.XLOOKUP('3. Food costs'!C55,Table2[Item],Table2[Energy (kcal) per 100g edible portion],0) * 100 &gt;G222 - N222),IF(G222-N222&lt;0,0,G222-N222), (S222)/ _xlfn.XLOOKUP('3. Food costs'!C55,Table2[Item],Table2[Energy (kcal) per 100g edible portion],0) * 100),0)</f>
        <v>0</v>
      </c>
      <c r="U222" s="80">
        <f t="shared" si="14"/>
        <v>60</v>
      </c>
      <c r="V222" s="80">
        <f>U222*_xlfn.XLOOKUP('3. Food costs'!C55,Table2[Item],Table2[Energy (kcal) per 100g edible portion],0) / 100</f>
        <v>37.5</v>
      </c>
      <c r="W222" s="80" t="str">
        <f t="shared" si="15"/>
        <v/>
      </c>
      <c r="X222" s="80">
        <f t="shared" si="5"/>
        <v>0</v>
      </c>
      <c r="Y222" s="80">
        <f t="shared" si="6"/>
        <v>0</v>
      </c>
      <c r="Z222" s="80">
        <f t="shared" si="16"/>
        <v>0</v>
      </c>
      <c r="AA222" s="80">
        <f>IFERROR(IF(AND(G222 &lt;&gt;0, Z222 / _xlfn.XLOOKUP('3. Food costs'!C55,Table2[Item],Table2[Energy (kcal) per 100g edible portion],0) * 100 &gt;G222 - U222),IF(G222-U222&lt;0,0,G222-U222), Z222 / _xlfn.XLOOKUP('3. Food costs'!C55,Table2[Item],Table2[Energy (kcal) per 100g edible portion],0) * 100),0)</f>
        <v>0</v>
      </c>
      <c r="AB222" s="82">
        <f t="shared" si="7"/>
        <v>60</v>
      </c>
      <c r="AC222" s="73">
        <f>AB222*_xlfn.XLOOKUP(C222,Table2[Item],Table2[Energy (kcal) per 100g edible portion],0) / 100</f>
        <v>37.5</v>
      </c>
      <c r="AD222" s="80">
        <f>AB222*_xlfn.XLOOKUP(C222,Table2[Item],Table2[Carbohydrate (g)],0) / 100</f>
        <v>2.82</v>
      </c>
      <c r="AE222" s="80">
        <f>AB222*_xlfn.XLOOKUP(C222,Table2[Item],Table2[Protein (g)],0) / 100</f>
        <v>2.1</v>
      </c>
      <c r="AF222" s="80">
        <f>AB222*_xlfn.XLOOKUP(C222,Table2[Item],Table2[Fat, total (g)],0) / 100</f>
        <v>1.98</v>
      </c>
    </row>
    <row r="223" spans="1:34" x14ac:dyDescent="0.2">
      <c r="A223" s="22">
        <f>COUNTIFS($B$216:B223,B223)</f>
        <v>1</v>
      </c>
      <c r="B223" s="22" t="str">
        <f>'Nutritional input'!C119</f>
        <v>Eggs</v>
      </c>
      <c r="C223" s="22" t="str">
        <f>'Nutritional input'!D119</f>
        <v>Eggs</v>
      </c>
      <c r="D223" s="45">
        <f>IF(ISBLANK('Nutritional input'!E119),A223,VLOOKUP('Nutritional input'!E119,'Background calculations'!$B$202:$C$206,2,FALSE))</f>
        <v>1</v>
      </c>
      <c r="E223" s="80">
        <f>_xlfn.XLOOKUP('3. Food costs'!C56,Table2[Item],Table2[Price per calorie],0)</f>
        <v>8.5800085800085792</v>
      </c>
      <c r="F223" s="80">
        <f>'Nutritional input'!F119</f>
        <v>15</v>
      </c>
      <c r="G223" s="80">
        <f>'Nutritional input'!G119</f>
        <v>30</v>
      </c>
      <c r="H223" s="80">
        <f>F223*_xlfn.XLOOKUP('3. Food costs'!C56,Table2[Item],Table2[Energy (kcal) per 100g edible portion],0) / 100</f>
        <v>23.31</v>
      </c>
      <c r="I223" s="80">
        <f t="shared" si="8"/>
        <v>8.5800085800085792</v>
      </c>
      <c r="J223" s="80">
        <f t="shared" si="9"/>
        <v>12</v>
      </c>
      <c r="K223" s="377">
        <f t="shared" si="2"/>
        <v>3.3898305084745763E-2</v>
      </c>
      <c r="L223" s="81">
        <f t="shared" si="10"/>
        <v>16.465817355932213</v>
      </c>
      <c r="M223" s="80">
        <f>IFERROR(IF(AND(G223 &lt;&gt; 0,L223 / _xlfn.XLOOKUP('3. Food costs'!C56,Table2[Item],Table2[Energy (kcal) per 100g edible portion],0) * 100 &gt;G223 - F223),IF(G223-F223&lt;0,0,G223-F223), L223 / _xlfn.XLOOKUP('3. Food costs'!C56,Table2[Item],Table2[Energy (kcal) per 100g edible portion],0) * 100),0)</f>
        <v>10.595764064306442</v>
      </c>
      <c r="N223" s="80">
        <f t="shared" si="11"/>
        <v>25.595764064306444</v>
      </c>
      <c r="O223" s="80">
        <f>N223*_xlfn.XLOOKUP('3. Food costs'!C56,Table2[Item],Table2[Energy (kcal) per 100g edible portion],0) / 100</f>
        <v>39.775817355932212</v>
      </c>
      <c r="P223" s="80">
        <f t="shared" si="12"/>
        <v>8.5800085800085792</v>
      </c>
      <c r="Q223" s="80">
        <f t="shared" si="13"/>
        <v>7</v>
      </c>
      <c r="R223" s="80">
        <f t="shared" si="3"/>
        <v>5.7142857142857141E-2</v>
      </c>
      <c r="S223" s="80">
        <f t="shared" si="4"/>
        <v>5.1084618421307821</v>
      </c>
      <c r="T223" s="80">
        <f>IFERROR(IF(AND(G223&lt;&gt; 0, (S223)/ _xlfn.XLOOKUP('3. Food costs'!C56,Table2[Item],Table2[Energy (kcal) per 100g edible portion],0) * 100 &gt;G223 - N223),IF(G223-N223&lt;0,0,G223-N223), (S223)/ _xlfn.XLOOKUP('3. Food costs'!C56,Table2[Item],Table2[Energy (kcal) per 100g edible portion],0) * 100),0)</f>
        <v>3.2872984827096405</v>
      </c>
      <c r="U223" s="80">
        <f t="shared" si="14"/>
        <v>28.883062547016085</v>
      </c>
      <c r="V223" s="80">
        <f>U223*_xlfn.XLOOKUP('3. Food costs'!C56,Table2[Item],Table2[Energy (kcal) per 100g edible portion],0) / 100</f>
        <v>44.884279198062998</v>
      </c>
      <c r="W223" s="80">
        <f t="shared" si="15"/>
        <v>8.5800085800085792</v>
      </c>
      <c r="X223" s="80">
        <f t="shared" si="5"/>
        <v>6</v>
      </c>
      <c r="Y223" s="80">
        <f t="shared" si="6"/>
        <v>7.407407407407407E-2</v>
      </c>
      <c r="Z223" s="80">
        <f t="shared" si="16"/>
        <v>0</v>
      </c>
      <c r="AA223" s="80">
        <f>IFERROR(IF(AND(G223 &lt;&gt;0, Z223 / _xlfn.XLOOKUP('3. Food costs'!C56,Table2[Item],Table2[Energy (kcal) per 100g edible portion],0) * 100 &gt;G223 - U223),IF(G223-U223&lt;0,0,G223-U223), Z223 / _xlfn.XLOOKUP('3. Food costs'!C56,Table2[Item],Table2[Energy (kcal) per 100g edible portion],0) * 100),0)</f>
        <v>0</v>
      </c>
      <c r="AB223" s="82">
        <f t="shared" si="7"/>
        <v>28.883062547016085</v>
      </c>
      <c r="AC223" s="73">
        <f>AB223*_xlfn.XLOOKUP(C223,Table2[Item],Table2[Energy (kcal) per 100g edible portion],0) / 100</f>
        <v>44.884279198062998</v>
      </c>
      <c r="AD223" s="80">
        <f>AB223*_xlfn.XLOOKUP(C223,Table2[Item],Table2[Carbohydrate (g)],0) / 100</f>
        <v>0.31771368801717698</v>
      </c>
      <c r="AE223" s="80">
        <f>AB223*_xlfn.XLOOKUP(C223,Table2[Item],Table2[Protein (g)],0) / 100</f>
        <v>3.754798131112091</v>
      </c>
      <c r="AF223" s="80">
        <f>AB223*_xlfn.XLOOKUP(C223,Table2[Item],Table2[Fat, total (g)],0) / 100</f>
        <v>3.1771368801717692</v>
      </c>
    </row>
    <row r="224" spans="1:34" x14ac:dyDescent="0.2">
      <c r="A224" s="22">
        <f>COUNTIFS($B$216:B224,B224)</f>
        <v>1</v>
      </c>
      <c r="B224" s="22" t="str">
        <f>'Nutritional input'!C120</f>
        <v>Meats</v>
      </c>
      <c r="C224" s="22" t="str">
        <f>'Nutritional input'!D120</f>
        <v>beef</v>
      </c>
      <c r="D224" s="45">
        <f>IF(ISBLANK('Nutritional input'!E120),A224,VLOOKUP('Nutritional input'!E120,'Background calculations'!$B$202:$C$206,2,FALSE))</f>
        <v>1</v>
      </c>
      <c r="E224" s="80">
        <f>_xlfn.XLOOKUP('3. Food costs'!C57,Table2[Item],Table2[Price per calorie],0)</f>
        <v>13.249651324965132</v>
      </c>
      <c r="F224" s="80">
        <f>'Nutritional input'!F120</f>
        <v>12</v>
      </c>
      <c r="G224" s="80">
        <f>'Nutritional input'!G120</f>
        <v>48</v>
      </c>
      <c r="H224" s="80">
        <f>F224*_xlfn.XLOOKUP('3. Food costs'!C57,Table2[Item],Table2[Energy (kcal) per 100g edible portion],0) / 100</f>
        <v>28.68</v>
      </c>
      <c r="I224" s="80">
        <f t="shared" si="8"/>
        <v>13.249651324965132</v>
      </c>
      <c r="J224" s="80">
        <f t="shared" si="9"/>
        <v>15</v>
      </c>
      <c r="K224" s="377">
        <f t="shared" si="2"/>
        <v>8.4745762711864406E-3</v>
      </c>
      <c r="L224" s="81">
        <f t="shared" si="10"/>
        <v>4.1164543389830532</v>
      </c>
      <c r="M224" s="80">
        <f>IFERROR(IF(AND(G224 &lt;&gt; 0,L224 / _xlfn.XLOOKUP('3. Food costs'!C57,Table2[Item],Table2[Energy (kcal) per 100g edible portion],0) * 100 &gt;G224 - F224),IF(G224-F224&lt;0,0,G224-F224), L224 / _xlfn.XLOOKUP('3. Food costs'!C57,Table2[Item],Table2[Energy (kcal) per 100g edible portion],0) * 100),0)</f>
        <v>1.7223658322104825</v>
      </c>
      <c r="N224" s="80">
        <f t="shared" si="11"/>
        <v>13.722365832210482</v>
      </c>
      <c r="O224" s="80">
        <f>N224*_xlfn.XLOOKUP('3. Food costs'!C57,Table2[Item],Table2[Energy (kcal) per 100g edible portion],0) / 100</f>
        <v>32.796454338983054</v>
      </c>
      <c r="P224" s="80">
        <f t="shared" si="12"/>
        <v>13.249651324965132</v>
      </c>
      <c r="Q224" s="80">
        <f t="shared" si="13"/>
        <v>8</v>
      </c>
      <c r="R224" s="80">
        <f t="shared" si="3"/>
        <v>2.8571428571428571E-2</v>
      </c>
      <c r="S224" s="80">
        <f t="shared" si="4"/>
        <v>2.5542309210653911</v>
      </c>
      <c r="T224" s="80">
        <f>IFERROR(IF(AND(G224&lt;&gt; 0, (S224)/ _xlfn.XLOOKUP('3. Food costs'!C57,Table2[Item],Table2[Energy (kcal) per 100g edible portion],0) * 100 &gt;G224 - N224),IF(G224-N224&lt;0,0,G224-N224), (S224)/ _xlfn.XLOOKUP('3. Food costs'!C57,Table2[Item],Table2[Energy (kcal) per 100g edible portion],0) * 100),0)</f>
        <v>1.0687158665545569</v>
      </c>
      <c r="U224" s="80">
        <f t="shared" si="14"/>
        <v>14.791081698765039</v>
      </c>
      <c r="V224" s="80">
        <f>U224*_xlfn.XLOOKUP('3. Food costs'!C57,Table2[Item],Table2[Energy (kcal) per 100g edible portion],0) / 100</f>
        <v>35.350685260048444</v>
      </c>
      <c r="W224" s="80">
        <f t="shared" si="15"/>
        <v>13.249651324965132</v>
      </c>
      <c r="X224" s="80">
        <f t="shared" si="5"/>
        <v>7</v>
      </c>
      <c r="Y224" s="80">
        <f t="shared" si="6"/>
        <v>3.7037037037037035E-2</v>
      </c>
      <c r="Z224" s="80">
        <f t="shared" si="16"/>
        <v>0</v>
      </c>
      <c r="AA224" s="80">
        <f>IFERROR(IF(AND(G224 &lt;&gt;0, Z224 / _xlfn.XLOOKUP('3. Food costs'!C57,Table2[Item],Table2[Energy (kcal) per 100g edible portion],0) * 100 &gt;G224 - U224),IF(G224-U224&lt;0,0,G224-U224), Z224 / _xlfn.XLOOKUP('3. Food costs'!C57,Table2[Item],Table2[Energy (kcal) per 100g edible portion],0) * 100),0)</f>
        <v>0</v>
      </c>
      <c r="AB224" s="82">
        <f t="shared" si="7"/>
        <v>14.791081698765039</v>
      </c>
      <c r="AC224" s="73">
        <f>AB224*_xlfn.XLOOKUP(C224,Table2[Item],Table2[Energy (kcal) per 100g edible portion],0) / 100</f>
        <v>35.350685260048444</v>
      </c>
      <c r="AD224" s="80">
        <f>AB224*_xlfn.XLOOKUP(C224,Table2[Item],Table2[Carbohydrate (g)],0) / 100</f>
        <v>0</v>
      </c>
      <c r="AE224" s="80">
        <f>AB224*_xlfn.XLOOKUP(C224,Table2[Item],Table2[Protein (g)],0) / 100</f>
        <v>3.8456812416789101</v>
      </c>
      <c r="AF224" s="80">
        <f>AB224*_xlfn.XLOOKUP(C224,Table2[Item],Table2[Fat, total (g)],0) / 100</f>
        <v>2.2186622548147561</v>
      </c>
    </row>
    <row r="225" spans="1:32" x14ac:dyDescent="0.2">
      <c r="A225" s="22">
        <f>COUNTIFS($B$216:B225,B225)</f>
        <v>1</v>
      </c>
      <c r="B225" s="22" t="str">
        <f>'Nutritional input'!C121</f>
        <v>Fish</v>
      </c>
      <c r="C225" s="22" t="str">
        <f>'Nutritional input'!D121</f>
        <v>Ngege Fresh</v>
      </c>
      <c r="D225" s="45">
        <f>IF(ISBLANK('Nutritional input'!E121),A225,VLOOKUP('Nutritional input'!E121,'Background calculations'!$B$202:$C$206,2,FALSE))</f>
        <v>3</v>
      </c>
      <c r="E225" s="80">
        <f>_xlfn.XLOOKUP('3. Food costs'!C58,Table2[Item],Table2[Price per calorie],0)</f>
        <v>17.41553465691397</v>
      </c>
      <c r="F225" s="80">
        <f>'Nutritional input'!F121</f>
        <v>12</v>
      </c>
      <c r="G225" s="80">
        <f>'Nutritional input'!G121</f>
        <v>12</v>
      </c>
      <c r="H225" s="80">
        <f>F225*_xlfn.XLOOKUP('3. Food costs'!C58,Table2[Item],Table2[Energy (kcal) per 100g edible portion],0) / 100</f>
        <v>11.484000000000002</v>
      </c>
      <c r="I225" s="80" t="str">
        <f t="shared" si="8"/>
        <v/>
      </c>
      <c r="J225" s="80">
        <f t="shared" si="9"/>
        <v>0</v>
      </c>
      <c r="K225" s="377">
        <f t="shared" si="2"/>
        <v>0</v>
      </c>
      <c r="L225" s="81">
        <f t="shared" si="10"/>
        <v>0</v>
      </c>
      <c r="M225" s="80">
        <f>IFERROR(IF(AND(G225 &lt;&gt; 0,L225 / _xlfn.XLOOKUP('3. Food costs'!C58,Table2[Item],Table2[Energy (kcal) per 100g edible portion],0) * 100 &gt;G225 - F225),IF(G225-F225&lt;0,0,G225-F225), L225 / _xlfn.XLOOKUP('3. Food costs'!C58,Table2[Item],Table2[Energy (kcal) per 100g edible portion],0) * 100),0)</f>
        <v>0</v>
      </c>
      <c r="N225" s="80">
        <f t="shared" si="11"/>
        <v>12</v>
      </c>
      <c r="O225" s="80">
        <f>N225*_xlfn.XLOOKUP('3. Food costs'!C58,Table2[Item],Table2[Energy (kcal) per 100g edible portion],0) / 100</f>
        <v>11.484000000000002</v>
      </c>
      <c r="P225" s="80" t="str">
        <f t="shared" si="12"/>
        <v/>
      </c>
      <c r="Q225" s="80">
        <f t="shared" si="13"/>
        <v>0</v>
      </c>
      <c r="R225" s="80">
        <f t="shared" si="3"/>
        <v>0</v>
      </c>
      <c r="S225" s="80">
        <f t="shared" si="4"/>
        <v>0</v>
      </c>
      <c r="T225" s="80">
        <f>IFERROR(IF(AND(G225&lt;&gt; 0, (S225)/ _xlfn.XLOOKUP('3. Food costs'!C58,Table2[Item],Table2[Energy (kcal) per 100g edible portion],0) * 100 &gt;G225 - N225),IF(G225-N225&lt;0,0,G225-N225), (S225)/ _xlfn.XLOOKUP('3. Food costs'!C58,Table2[Item],Table2[Energy (kcal) per 100g edible portion],0) * 100),0)</f>
        <v>0</v>
      </c>
      <c r="U225" s="80">
        <f t="shared" si="14"/>
        <v>12</v>
      </c>
      <c r="V225" s="80">
        <f>U225*_xlfn.XLOOKUP('3. Food costs'!C58,Table2[Item],Table2[Energy (kcal) per 100g edible portion],0) / 100</f>
        <v>11.484000000000002</v>
      </c>
      <c r="W225" s="80" t="str">
        <f t="shared" si="15"/>
        <v/>
      </c>
      <c r="X225" s="80">
        <f t="shared" si="5"/>
        <v>0</v>
      </c>
      <c r="Y225" s="80">
        <f t="shared" si="6"/>
        <v>0</v>
      </c>
      <c r="Z225" s="80">
        <f t="shared" si="16"/>
        <v>0</v>
      </c>
      <c r="AA225" s="80">
        <f>IFERROR(IF(AND(G225 &lt;&gt;0, Z225 / _xlfn.XLOOKUP('3. Food costs'!C58,Table2[Item],Table2[Energy (kcal) per 100g edible portion],0) * 100 &gt;G225 - U225),IF(G225-U225&lt;0,0,G225-U225), Z225 / _xlfn.XLOOKUP('3. Food costs'!C58,Table2[Item],Table2[Energy (kcal) per 100g edible portion],0) * 100),0)</f>
        <v>0</v>
      </c>
      <c r="AB225" s="82">
        <f t="shared" si="7"/>
        <v>12</v>
      </c>
      <c r="AC225" s="73">
        <f>AB225*_xlfn.XLOOKUP(C225,Table2[Item],Table2[Energy (kcal) per 100g edible portion],0) / 100</f>
        <v>11.484000000000002</v>
      </c>
      <c r="AD225" s="80">
        <f>AB225*_xlfn.XLOOKUP(C225,Table2[Item],Table2[Carbohydrate (g)],0) / 100</f>
        <v>0</v>
      </c>
      <c r="AE225" s="80">
        <f>AB225*_xlfn.XLOOKUP(C225,Table2[Item],Table2[Protein (g)],0) / 100</f>
        <v>2.4120000000000004</v>
      </c>
      <c r="AF225" s="80">
        <f>AB225*_xlfn.XLOOKUP(C225,Table2[Item],Table2[Fat, total (g)],0) / 100</f>
        <v>0.20399999999999999</v>
      </c>
    </row>
    <row r="226" spans="1:32" x14ac:dyDescent="0.2">
      <c r="A226" s="22">
        <f>COUNTIFS($B$216:B226,B226)</f>
        <v>1</v>
      </c>
      <c r="B226" s="22" t="str">
        <f>'Nutritional input'!C122</f>
        <v>Green leafy vegetables</v>
      </c>
      <c r="C226" s="22" t="str">
        <f>'Nutritional input'!D122</f>
        <v>Sukuma</v>
      </c>
      <c r="D226" s="45">
        <f>IF(ISBLANK('Nutritional input'!E122),A226,VLOOKUP('Nutritional input'!E122,'Background calculations'!$B$202:$C$206,2,FALSE))</f>
        <v>1</v>
      </c>
      <c r="E226" s="80">
        <f>_xlfn.XLOOKUP('3. Food costs'!C59,Table2[Item],Table2[Price per calorie],0)</f>
        <v>1.8281535648994516</v>
      </c>
      <c r="F226" s="80">
        <f>'Nutritional input'!F122</f>
        <v>75</v>
      </c>
      <c r="G226" s="80">
        <f>'Nutritional input'!G122</f>
        <v>100</v>
      </c>
      <c r="H226" s="80">
        <f>F226*_xlfn.XLOOKUP('3. Food costs'!C59,Table2[Item],Table2[Energy (kcal) per 100g edible portion],0) / 100</f>
        <v>41.024999999999999</v>
      </c>
      <c r="I226" s="80">
        <f t="shared" si="8"/>
        <v>1.8281535648994516</v>
      </c>
      <c r="J226" s="80">
        <f t="shared" si="9"/>
        <v>6</v>
      </c>
      <c r="K226" s="377">
        <f t="shared" si="2"/>
        <v>8.4745762711864403E-2</v>
      </c>
      <c r="L226" s="81">
        <f t="shared" si="10"/>
        <v>41.164543389830527</v>
      </c>
      <c r="M226" s="80">
        <f>IFERROR(IF(AND(G226 &lt;&gt; 0,L226 / _xlfn.XLOOKUP('3. Food costs'!C59,Table2[Item],Table2[Energy (kcal) per 100g edible portion],0) * 100 &gt;G226 - F226),IF(G226-F226&lt;0,0,G226-F226), L226 / _xlfn.XLOOKUP('3. Food costs'!C59,Table2[Item],Table2[Energy (kcal) per 100g edible portion],0) * 100),0)</f>
        <v>25</v>
      </c>
      <c r="N226" s="80">
        <f t="shared" si="11"/>
        <v>100</v>
      </c>
      <c r="O226" s="80">
        <f>N226*_xlfn.XLOOKUP('3. Food costs'!C59,Table2[Item],Table2[Energy (kcal) per 100g edible portion],0) / 100</f>
        <v>54.7</v>
      </c>
      <c r="P226" s="80" t="str">
        <f t="shared" si="12"/>
        <v/>
      </c>
      <c r="Q226" s="80">
        <f t="shared" si="13"/>
        <v>0</v>
      </c>
      <c r="R226" s="80">
        <f t="shared" si="3"/>
        <v>0</v>
      </c>
      <c r="S226" s="80">
        <f t="shared" si="4"/>
        <v>0</v>
      </c>
      <c r="T226" s="80">
        <f>IFERROR(IF(AND(G226&lt;&gt; 0, (S226)/ _xlfn.XLOOKUP('3. Food costs'!C59,Table2[Item],Table2[Energy (kcal) per 100g edible portion],0) * 100 &gt;G226 - N226),IF(G226-N226&lt;0,0,G226-N226), (S226)/ _xlfn.XLOOKUP('3. Food costs'!C59,Table2[Item],Table2[Energy (kcal) per 100g edible portion],0) * 100),0)</f>
        <v>0</v>
      </c>
      <c r="U226" s="80">
        <f t="shared" si="14"/>
        <v>100</v>
      </c>
      <c r="V226" s="80">
        <f>U226*_xlfn.XLOOKUP('3. Food costs'!C59,Table2[Item],Table2[Energy (kcal) per 100g edible portion],0) / 100</f>
        <v>54.7</v>
      </c>
      <c r="W226" s="80" t="str">
        <f t="shared" si="15"/>
        <v/>
      </c>
      <c r="X226" s="80">
        <f t="shared" si="5"/>
        <v>0</v>
      </c>
      <c r="Y226" s="80">
        <f t="shared" si="6"/>
        <v>0</v>
      </c>
      <c r="Z226" s="80">
        <f t="shared" si="16"/>
        <v>0</v>
      </c>
      <c r="AA226" s="80">
        <f>IFERROR(IF(AND(G226 &lt;&gt;0, Z226 / _xlfn.XLOOKUP('3. Food costs'!C59,Table2[Item],Table2[Energy (kcal) per 100g edible portion],0) * 100 &gt;G226 - U226),IF(G226-U226&lt;0,0,G226-U226), Z226 / _xlfn.XLOOKUP('3. Food costs'!C59,Table2[Item],Table2[Energy (kcal) per 100g edible portion],0) * 100),0)</f>
        <v>0</v>
      </c>
      <c r="AB226" s="82">
        <f t="shared" si="7"/>
        <v>100</v>
      </c>
      <c r="AC226" s="73">
        <f>AB226*_xlfn.XLOOKUP(C226,Table2[Item],Table2[Energy (kcal) per 100g edible portion],0) / 100</f>
        <v>54.7</v>
      </c>
      <c r="AD226" s="80">
        <f>AB226*_xlfn.XLOOKUP(C226,Table2[Item],Table2[Carbohydrate (g)],0) / 100</f>
        <v>8.8000000000000007</v>
      </c>
      <c r="AE226" s="80">
        <f>AB226*_xlfn.XLOOKUP(C226,Table2[Item],Table2[Protein (g)],0) / 100</f>
        <v>3.3</v>
      </c>
      <c r="AF226" s="80">
        <f>AB226*_xlfn.XLOOKUP(C226,Table2[Item],Table2[Fat, total (g)],0) / 100</f>
        <v>0.7</v>
      </c>
    </row>
    <row r="227" spans="1:32" x14ac:dyDescent="0.2">
      <c r="A227" s="22">
        <f>COUNTIFS($B$216:B227,B227)</f>
        <v>1</v>
      </c>
      <c r="B227" s="22" t="str">
        <f>'Nutritional input'!C123</f>
        <v>Other vegetables</v>
      </c>
      <c r="C227" s="22" t="str">
        <f>'Nutritional input'!D123</f>
        <v>Doodo</v>
      </c>
      <c r="D227" s="45">
        <f>IF(ISBLANK('Nutritional input'!E123),A227,VLOOKUP('Nutritional input'!E123,'Background calculations'!$B$202:$C$206,2,FALSE))</f>
        <v>1</v>
      </c>
      <c r="E227" s="80">
        <f>_xlfn.XLOOKUP('3. Food costs'!C60,Table2[Item],Table2[Price per calorie],0)</f>
        <v>2.2075055187637971</v>
      </c>
      <c r="F227" s="80">
        <f>'Nutritional input'!F123</f>
        <v>41</v>
      </c>
      <c r="G227" s="80">
        <f>'Nutritional input'!G123</f>
        <v>60</v>
      </c>
      <c r="H227" s="80">
        <f>F227*_xlfn.XLOOKUP('3. Food costs'!C60,Table2[Item],Table2[Energy (kcal) per 100g edible portion],0) / 100</f>
        <v>18.573</v>
      </c>
      <c r="I227" s="80">
        <f t="shared" si="8"/>
        <v>2.2075055187637971</v>
      </c>
      <c r="J227" s="80">
        <f t="shared" si="9"/>
        <v>9</v>
      </c>
      <c r="K227" s="377">
        <f t="shared" si="2"/>
        <v>5.9322033898305086E-2</v>
      </c>
      <c r="L227" s="81">
        <f t="shared" si="10"/>
        <v>28.815180372881372</v>
      </c>
      <c r="M227" s="80">
        <f>IFERROR(IF(AND(G227 &lt;&gt; 0,L227 / _xlfn.XLOOKUP('3. Food costs'!C60,Table2[Item],Table2[Energy (kcal) per 100g edible portion],0) * 100 &gt;G227 - F227),IF(G227-F227&lt;0,0,G227-F227), L227 / _xlfn.XLOOKUP('3. Food costs'!C60,Table2[Item],Table2[Energy (kcal) per 100g edible portion],0) * 100),0)</f>
        <v>19</v>
      </c>
      <c r="N227" s="80">
        <f t="shared" si="11"/>
        <v>60</v>
      </c>
      <c r="O227" s="80">
        <f>N227*_xlfn.XLOOKUP('3. Food costs'!C60,Table2[Item],Table2[Energy (kcal) per 100g edible portion],0) / 100</f>
        <v>27.18</v>
      </c>
      <c r="P227" s="80" t="str">
        <f t="shared" si="12"/>
        <v/>
      </c>
      <c r="Q227" s="80">
        <f t="shared" si="13"/>
        <v>0</v>
      </c>
      <c r="R227" s="80">
        <f t="shared" si="3"/>
        <v>0</v>
      </c>
      <c r="S227" s="80">
        <f t="shared" si="4"/>
        <v>0</v>
      </c>
      <c r="T227" s="80">
        <f>IFERROR(IF(AND(G227&lt;&gt; 0, (S227)/ _xlfn.XLOOKUP('3. Food costs'!C60,Table2[Item],Table2[Energy (kcal) per 100g edible portion],0) * 100 &gt;G227 - N227),IF(G227-N227&lt;0,0,G227-N227), (S227)/ _xlfn.XLOOKUP('3. Food costs'!C60,Table2[Item],Table2[Energy (kcal) per 100g edible portion],0) * 100),0)</f>
        <v>0</v>
      </c>
      <c r="U227" s="80">
        <f t="shared" si="14"/>
        <v>60</v>
      </c>
      <c r="V227" s="80">
        <f>U227*_xlfn.XLOOKUP('3. Food costs'!C60,Table2[Item],Table2[Energy (kcal) per 100g edible portion],0) / 100</f>
        <v>27.18</v>
      </c>
      <c r="W227" s="80" t="str">
        <f t="shared" si="15"/>
        <v/>
      </c>
      <c r="X227" s="80">
        <f t="shared" si="5"/>
        <v>0</v>
      </c>
      <c r="Y227" s="80">
        <f t="shared" si="6"/>
        <v>0</v>
      </c>
      <c r="Z227" s="80">
        <f t="shared" si="16"/>
        <v>0</v>
      </c>
      <c r="AA227" s="80">
        <f>IFERROR(IF(AND(G227 &lt;&gt;0, Z227 / _xlfn.XLOOKUP('3. Food costs'!C60,Table2[Item],Table2[Energy (kcal) per 100g edible portion],0) * 100 &gt;G227 - U227),IF(G227-U227&lt;0,0,G227-U227), Z227 / _xlfn.XLOOKUP('3. Food costs'!C60,Table2[Item],Table2[Energy (kcal) per 100g edible portion],0) * 100),0)</f>
        <v>0</v>
      </c>
      <c r="AB227" s="82">
        <f t="shared" si="7"/>
        <v>60</v>
      </c>
      <c r="AC227" s="73">
        <f>AB227*_xlfn.XLOOKUP(C227,Table2[Item],Table2[Energy (kcal) per 100g edible portion],0) / 100</f>
        <v>27.18</v>
      </c>
      <c r="AD227" s="80">
        <f>AB227*_xlfn.XLOOKUP(C227,Table2[Item],Table2[Carbohydrate (g)],0) / 100</f>
        <v>4.2</v>
      </c>
      <c r="AE227" s="80">
        <f>AB227*_xlfn.XLOOKUP(C227,Table2[Item],Table2[Protein (g)],0) / 100</f>
        <v>1.92</v>
      </c>
      <c r="AF227" s="80">
        <f>AB227*_xlfn.XLOOKUP(C227,Table2[Item],Table2[Fat, total (g)],0) / 100</f>
        <v>0.3</v>
      </c>
    </row>
    <row r="228" spans="1:32" x14ac:dyDescent="0.2">
      <c r="A228" s="22">
        <f>COUNTIFS($B$216:B228,B228)</f>
        <v>2</v>
      </c>
      <c r="B228" s="22" t="str">
        <f>'Nutritional input'!C124</f>
        <v>Other vegetables</v>
      </c>
      <c r="C228" s="22" t="str">
        <f>'Nutritional input'!D124</f>
        <v>Spring Onions</v>
      </c>
      <c r="D228" s="45">
        <f>IF(ISBLANK('Nutritional input'!E124),A228,VLOOKUP('Nutritional input'!E124,'Background calculations'!$B$202:$C$206,2,FALSE))</f>
        <v>2</v>
      </c>
      <c r="E228" s="80">
        <f>_xlfn.XLOOKUP('3. Food costs'!C61,Table2[Item],Table2[Price per calorie],0)</f>
        <v>2.6178010471204187</v>
      </c>
      <c r="F228" s="80">
        <f>'Nutritional input'!F124</f>
        <v>41</v>
      </c>
      <c r="G228" s="80">
        <f>'Nutritional input'!G124</f>
        <v>60</v>
      </c>
      <c r="H228" s="80">
        <f>F228*_xlfn.XLOOKUP('3. Food costs'!C61,Table2[Item],Table2[Energy (kcal) per 100g edible portion],0) / 100</f>
        <v>15.662000000000001</v>
      </c>
      <c r="I228" s="80">
        <f t="shared" si="8"/>
        <v>2.6178010471204187</v>
      </c>
      <c r="J228" s="80">
        <f t="shared" si="9"/>
        <v>10</v>
      </c>
      <c r="K228" s="377">
        <f t="shared" si="2"/>
        <v>5.0847457627118647E-2</v>
      </c>
      <c r="L228" s="81">
        <f t="shared" si="10"/>
        <v>24.698726033898321</v>
      </c>
      <c r="M228" s="80">
        <f>IFERROR(IF(AND(G228 &lt;&gt; 0,L228 / _xlfn.XLOOKUP('3. Food costs'!C61,Table2[Item],Table2[Energy (kcal) per 100g edible portion],0) * 100 &gt;G228 - F228),IF(G228-F228&lt;0,0,G228-F228), L228 / _xlfn.XLOOKUP('3. Food costs'!C61,Table2[Item],Table2[Energy (kcal) per 100g edible portion],0) * 100),0)</f>
        <v>19</v>
      </c>
      <c r="N228" s="80">
        <f t="shared" si="11"/>
        <v>60</v>
      </c>
      <c r="O228" s="80">
        <f>N228*_xlfn.XLOOKUP('3. Food costs'!C61,Table2[Item],Table2[Energy (kcal) per 100g edible portion],0) / 100</f>
        <v>22.92</v>
      </c>
      <c r="P228" s="80" t="str">
        <f t="shared" si="12"/>
        <v/>
      </c>
      <c r="Q228" s="80">
        <f t="shared" si="13"/>
        <v>0</v>
      </c>
      <c r="R228" s="80">
        <f t="shared" si="3"/>
        <v>0</v>
      </c>
      <c r="S228" s="80">
        <f t="shared" si="4"/>
        <v>0</v>
      </c>
      <c r="T228" s="80">
        <f>IFERROR(IF(AND(G228&lt;&gt; 0, (S228)/ _xlfn.XLOOKUP('3. Food costs'!C61,Table2[Item],Table2[Energy (kcal) per 100g edible portion],0) * 100 &gt;G228 - N228),IF(G228-N228&lt;0,0,G228-N228), (S228)/ _xlfn.XLOOKUP('3. Food costs'!C61,Table2[Item],Table2[Energy (kcal) per 100g edible portion],0) * 100),0)</f>
        <v>0</v>
      </c>
      <c r="U228" s="80">
        <f t="shared" si="14"/>
        <v>60</v>
      </c>
      <c r="V228" s="80">
        <f>U228*_xlfn.XLOOKUP('3. Food costs'!C61,Table2[Item],Table2[Energy (kcal) per 100g edible portion],0) / 100</f>
        <v>22.92</v>
      </c>
      <c r="W228" s="80" t="str">
        <f t="shared" si="15"/>
        <v/>
      </c>
      <c r="X228" s="80">
        <f t="shared" si="5"/>
        <v>0</v>
      </c>
      <c r="Y228" s="80">
        <f t="shared" si="6"/>
        <v>0</v>
      </c>
      <c r="Z228" s="80">
        <f t="shared" si="16"/>
        <v>0</v>
      </c>
      <c r="AA228" s="80">
        <f>IFERROR(IF(AND(G228 &lt;&gt;0, Z228 / _xlfn.XLOOKUP('3. Food costs'!C61,Table2[Item],Table2[Energy (kcal) per 100g edible portion],0) * 100 &gt;G228 - U228),IF(G228-U228&lt;0,0,G228-U228), Z228 / _xlfn.XLOOKUP('3. Food costs'!C61,Table2[Item],Table2[Energy (kcal) per 100g edible portion],0) * 100),0)</f>
        <v>0</v>
      </c>
      <c r="AB228" s="82">
        <f t="shared" si="7"/>
        <v>60</v>
      </c>
      <c r="AC228" s="73">
        <f>AB228*_xlfn.XLOOKUP(C228,Table2[Item],Table2[Energy (kcal) per 100g edible portion],0) / 100</f>
        <v>22.92</v>
      </c>
      <c r="AD228" s="80">
        <f>AB228*_xlfn.XLOOKUP(C228,Table2[Item],Table2[Carbohydrate (g)],0) / 100</f>
        <v>4.38</v>
      </c>
      <c r="AE228" s="80">
        <f>AB228*_xlfn.XLOOKUP(C228,Table2[Item],Table2[Protein (g)],0) / 100</f>
        <v>1.08</v>
      </c>
      <c r="AF228" s="80">
        <f>AB228*_xlfn.XLOOKUP(C228,Table2[Item],Table2[Fat, total (g)],0) / 100</f>
        <v>0.12</v>
      </c>
    </row>
    <row r="229" spans="1:32" x14ac:dyDescent="0.2">
      <c r="A229" s="22">
        <f>COUNTIFS($B$216:B229,B229)</f>
        <v>3</v>
      </c>
      <c r="B229" s="22" t="str">
        <f>'Nutritional input'!C125</f>
        <v>Other vegetables</v>
      </c>
      <c r="C229" s="22" t="str">
        <f>'Nutritional input'!D125</f>
        <v>Bbuga</v>
      </c>
      <c r="D229" s="45">
        <f>IF(ISBLANK('Nutritional input'!E125),A229,VLOOKUP('Nutritional input'!E125,'Background calculations'!$B$202:$C$206,2,FALSE))</f>
        <v>3</v>
      </c>
      <c r="E229" s="80">
        <f>_xlfn.XLOOKUP('3. Food costs'!C62,Table2[Item],Table2[Price per calorie],0)</f>
        <v>2.7247956403269753</v>
      </c>
      <c r="F229" s="80">
        <f>'Nutritional input'!F125</f>
        <v>41</v>
      </c>
      <c r="G229" s="80">
        <f>'Nutritional input'!G125</f>
        <v>60</v>
      </c>
      <c r="H229" s="80">
        <f>F229*_xlfn.XLOOKUP('3. Food costs'!C62,Table2[Item],Table2[Energy (kcal) per 100g edible portion],0) / 100</f>
        <v>15.047000000000001</v>
      </c>
      <c r="I229" s="80">
        <f t="shared" si="8"/>
        <v>2.7247956403269753</v>
      </c>
      <c r="J229" s="80">
        <f t="shared" si="9"/>
        <v>11</v>
      </c>
      <c r="K229" s="377">
        <f t="shared" si="2"/>
        <v>4.2372881355932202E-2</v>
      </c>
      <c r="L229" s="81">
        <f t="shared" si="10"/>
        <v>20.582271694915264</v>
      </c>
      <c r="M229" s="80">
        <f>IFERROR(IF(AND(G229 &lt;&gt; 0,L229 / _xlfn.XLOOKUP('3. Food costs'!C62,Table2[Item],Table2[Energy (kcal) per 100g edible portion],0) * 100 &gt;G229 - F229),IF(G229-F229&lt;0,0,G229-F229), L229 / _xlfn.XLOOKUP('3. Food costs'!C62,Table2[Item],Table2[Energy (kcal) per 100g edible portion],0) * 100),0)</f>
        <v>19</v>
      </c>
      <c r="N229" s="80">
        <f t="shared" si="11"/>
        <v>60</v>
      </c>
      <c r="O229" s="80">
        <f>N229*_xlfn.XLOOKUP('3. Food costs'!C62,Table2[Item],Table2[Energy (kcal) per 100g edible portion],0) / 100</f>
        <v>22.02</v>
      </c>
      <c r="P229" s="80" t="str">
        <f t="shared" si="12"/>
        <v/>
      </c>
      <c r="Q229" s="80">
        <f t="shared" si="13"/>
        <v>0</v>
      </c>
      <c r="R229" s="80">
        <f t="shared" si="3"/>
        <v>0</v>
      </c>
      <c r="S229" s="80">
        <f t="shared" si="4"/>
        <v>0</v>
      </c>
      <c r="T229" s="80">
        <f>IFERROR(IF(AND(G229&lt;&gt; 0, (S229)/ _xlfn.XLOOKUP('3. Food costs'!C62,Table2[Item],Table2[Energy (kcal) per 100g edible portion],0) * 100 &gt;G229 - N229),IF(G229-N229&lt;0,0,G229-N229), (S229)/ _xlfn.XLOOKUP('3. Food costs'!C62,Table2[Item],Table2[Energy (kcal) per 100g edible portion],0) * 100),0)</f>
        <v>0</v>
      </c>
      <c r="U229" s="80">
        <f t="shared" si="14"/>
        <v>60</v>
      </c>
      <c r="V229" s="80">
        <f>U229*_xlfn.XLOOKUP('3. Food costs'!C62,Table2[Item],Table2[Energy (kcal) per 100g edible portion],0) / 100</f>
        <v>22.02</v>
      </c>
      <c r="W229" s="80" t="str">
        <f t="shared" si="15"/>
        <v/>
      </c>
      <c r="X229" s="80">
        <f t="shared" si="5"/>
        <v>0</v>
      </c>
      <c r="Y229" s="80">
        <f t="shared" si="6"/>
        <v>0</v>
      </c>
      <c r="Z229" s="80">
        <f t="shared" si="16"/>
        <v>0</v>
      </c>
      <c r="AA229" s="80">
        <f>IFERROR(IF(AND(G229 &lt;&gt;0, Z229 / _xlfn.XLOOKUP('3. Food costs'!C62,Table2[Item],Table2[Energy (kcal) per 100g edible portion],0) * 100 &gt;G229 - U229),IF(G229-U229&lt;0,0,G229-U229), Z229 / _xlfn.XLOOKUP('3. Food costs'!C62,Table2[Item],Table2[Energy (kcal) per 100g edible portion],0) * 100),0)</f>
        <v>0</v>
      </c>
      <c r="AB229" s="82">
        <f t="shared" si="7"/>
        <v>60</v>
      </c>
      <c r="AC229" s="73">
        <f>AB229*_xlfn.XLOOKUP(C229,Table2[Item],Table2[Energy (kcal) per 100g edible portion],0) / 100</f>
        <v>22.02</v>
      </c>
      <c r="AD229" s="80">
        <f>AB229*_xlfn.XLOOKUP(C229,Table2[Item],Table2[Carbohydrate (g)],0) / 100</f>
        <v>3.6</v>
      </c>
      <c r="AE229" s="80">
        <f>AB229*_xlfn.XLOOKUP(C229,Table2[Item],Table2[Protein (g)],0) / 100</f>
        <v>1.5</v>
      </c>
      <c r="AF229" s="80">
        <f>AB229*_xlfn.XLOOKUP(C229,Table2[Item],Table2[Fat, total (g)],0) / 100</f>
        <v>0.18</v>
      </c>
    </row>
    <row r="230" spans="1:32" x14ac:dyDescent="0.2">
      <c r="A230" s="22">
        <f>COUNTIFS($B$216:B230,B230)</f>
        <v>1</v>
      </c>
      <c r="B230" s="22" t="str">
        <f>'Nutritional input'!C126</f>
        <v>Fruits</v>
      </c>
      <c r="C230" s="22" t="str">
        <f>'Nutritional input'!D126</f>
        <v>Pine Apple</v>
      </c>
      <c r="D230" s="45">
        <f>IF(ISBLANK('Nutritional input'!E126),A230,VLOOKUP('Nutritional input'!E126,'Background calculations'!$B$202:$C$206,2,FALSE))</f>
        <v>2</v>
      </c>
      <c r="E230" s="80">
        <f>_xlfn.XLOOKUP('3. Food costs'!C63,Table2[Item],Table2[Price per calorie],0)</f>
        <v>9.1074681238615671</v>
      </c>
      <c r="F230" s="80">
        <f>'Nutritional input'!F126</f>
        <v>50</v>
      </c>
      <c r="G230" s="80">
        <f>'Nutritional input'!G126</f>
        <v>60</v>
      </c>
      <c r="H230" s="80">
        <f>F230*_xlfn.XLOOKUP('3. Food costs'!C63,Table2[Item],Table2[Energy (kcal) per 100g edible portion],0) / 100</f>
        <v>27.45</v>
      </c>
      <c r="I230" s="80">
        <f t="shared" si="8"/>
        <v>9.1074681238615671</v>
      </c>
      <c r="J230" s="80">
        <f t="shared" si="9"/>
        <v>13</v>
      </c>
      <c r="K230" s="377">
        <f t="shared" si="2"/>
        <v>2.5423728813559324E-2</v>
      </c>
      <c r="L230" s="81">
        <f t="shared" si="10"/>
        <v>12.349363016949161</v>
      </c>
      <c r="M230" s="80">
        <f>IFERROR(IF(AND(G230 &lt;&gt; 0,L230 / _xlfn.XLOOKUP('3. Food costs'!C63,Table2[Item],Table2[Energy (kcal) per 100g edible portion],0) * 100 &gt;G230 - F230),IF(G230-F230&lt;0,0,G230-F230), L230 / _xlfn.XLOOKUP('3. Food costs'!C63,Table2[Item],Table2[Energy (kcal) per 100g edible portion],0) * 100),0)</f>
        <v>10</v>
      </c>
      <c r="N230" s="80">
        <f t="shared" si="11"/>
        <v>60</v>
      </c>
      <c r="O230" s="80">
        <f>N230*_xlfn.XLOOKUP('3. Food costs'!C63,Table2[Item],Table2[Energy (kcal) per 100g edible portion],0) / 100</f>
        <v>32.94</v>
      </c>
      <c r="P230" s="80" t="str">
        <f t="shared" si="12"/>
        <v/>
      </c>
      <c r="Q230" s="80">
        <f t="shared" si="13"/>
        <v>0</v>
      </c>
      <c r="R230" s="80">
        <f t="shared" si="3"/>
        <v>0</v>
      </c>
      <c r="S230" s="80">
        <f t="shared" si="4"/>
        <v>0</v>
      </c>
      <c r="T230" s="80">
        <f>IFERROR(IF(AND(G230&lt;&gt; 0, (S230)/ _xlfn.XLOOKUP('3. Food costs'!C63,Table2[Item],Table2[Energy (kcal) per 100g edible portion],0) * 100 &gt;G230 - N230),IF(G230-N230&lt;0,0,G230-N230), (S230)/ _xlfn.XLOOKUP('3. Food costs'!C63,Table2[Item],Table2[Energy (kcal) per 100g edible portion],0) * 100),0)</f>
        <v>0</v>
      </c>
      <c r="U230" s="80">
        <f t="shared" si="14"/>
        <v>60</v>
      </c>
      <c r="V230" s="80">
        <f>U230*_xlfn.XLOOKUP('3. Food costs'!C63,Table2[Item],Table2[Energy (kcal) per 100g edible portion],0) / 100</f>
        <v>32.94</v>
      </c>
      <c r="W230" s="80" t="str">
        <f t="shared" si="15"/>
        <v/>
      </c>
      <c r="X230" s="80">
        <f t="shared" si="5"/>
        <v>0</v>
      </c>
      <c r="Y230" s="80">
        <f t="shared" si="6"/>
        <v>0</v>
      </c>
      <c r="Z230" s="80">
        <f t="shared" si="16"/>
        <v>0</v>
      </c>
      <c r="AA230" s="80">
        <f>IFERROR(IF(AND(G230 &lt;&gt;0, Z230 / _xlfn.XLOOKUP('3. Food costs'!C63,Table2[Item],Table2[Energy (kcal) per 100g edible portion],0) * 100 &gt;G230 - U230),IF(G230-U230&lt;0,0,G230-U230), Z230 / _xlfn.XLOOKUP('3. Food costs'!C63,Table2[Item],Table2[Energy (kcal) per 100g edible portion],0) * 100),0)</f>
        <v>0</v>
      </c>
      <c r="AB230" s="82">
        <f t="shared" si="7"/>
        <v>60</v>
      </c>
      <c r="AC230" s="73">
        <f>AB230*_xlfn.XLOOKUP(C230,Table2[Item],Table2[Energy (kcal) per 100g edible portion],0) / 100</f>
        <v>32.94</v>
      </c>
      <c r="AD230" s="80">
        <f>AB230*_xlfn.XLOOKUP(C230,Table2[Item],Table2[Carbohydrate (g)],0) / 100</f>
        <v>7.8</v>
      </c>
      <c r="AE230" s="80">
        <f>AB230*_xlfn.XLOOKUP(C230,Table2[Item],Table2[Protein (g)],0) / 100</f>
        <v>0.3</v>
      </c>
      <c r="AF230" s="80">
        <f>AB230*_xlfn.XLOOKUP(C230,Table2[Item],Table2[Fat, total (g)],0) / 100</f>
        <v>0.06</v>
      </c>
    </row>
    <row r="231" spans="1:32" x14ac:dyDescent="0.2">
      <c r="A231" s="22">
        <f>COUNTIFS($B$216:B231,B231)</f>
        <v>2</v>
      </c>
      <c r="B231" s="22" t="str">
        <f>'Nutritional input'!C127</f>
        <v>Fruits</v>
      </c>
      <c r="C231" s="22" t="str">
        <f>'Nutritional input'!D127</f>
        <v>Pine Apple</v>
      </c>
      <c r="D231" s="45">
        <f>IF(ISBLANK('Nutritional input'!E127),A231,VLOOKUP('Nutritional input'!E127,'Background calculations'!$B$202:$C$206,2,FALSE))</f>
        <v>2</v>
      </c>
      <c r="E231" s="80">
        <f>_xlfn.XLOOKUP('3. Food costs'!C64,Table2[Item],Table2[Price per calorie],0)</f>
        <v>9.1074681238615671</v>
      </c>
      <c r="F231" s="80">
        <f>'Nutritional input'!F127</f>
        <v>50</v>
      </c>
      <c r="G231" s="80">
        <f>'Nutritional input'!G127</f>
        <v>60</v>
      </c>
      <c r="H231" s="80">
        <f>F231*_xlfn.XLOOKUP('3. Food costs'!C64,Table2[Item],Table2[Energy (kcal) per 100g edible portion],0) / 100</f>
        <v>27.45</v>
      </c>
      <c r="I231" s="80">
        <f t="shared" si="8"/>
        <v>9.1074681238615671</v>
      </c>
      <c r="J231" s="80">
        <f>IFERROR(_xlfn.RANK.EQ(I231,$I$216:$I$234,1),0)</f>
        <v>13</v>
      </c>
      <c r="K231" s="377">
        <f t="shared" si="2"/>
        <v>2.5423728813559324E-2</v>
      </c>
      <c r="L231" s="81">
        <f t="shared" si="10"/>
        <v>12.349363016949161</v>
      </c>
      <c r="M231" s="80">
        <f>IFERROR(IF(AND(G231 &lt;&gt; 0,L231 / _xlfn.XLOOKUP('3. Food costs'!C64,Table2[Item],Table2[Energy (kcal) per 100g edible portion],0) * 100 &gt;G231 - F231),IF(G231-F231&lt;0,0,G231-F231), L231 / _xlfn.XLOOKUP('3. Food costs'!C64,Table2[Item],Table2[Energy (kcal) per 100g edible portion],0) * 100),0)</f>
        <v>10</v>
      </c>
      <c r="N231" s="80">
        <f t="shared" si="11"/>
        <v>60</v>
      </c>
      <c r="O231" s="80">
        <f>N231*_xlfn.XLOOKUP('3. Food costs'!C64,Table2[Item],Table2[Energy (kcal) per 100g edible portion],0) / 100</f>
        <v>32.94</v>
      </c>
      <c r="P231" s="80" t="str">
        <f t="shared" si="12"/>
        <v/>
      </c>
      <c r="Q231" s="80">
        <f t="shared" si="13"/>
        <v>0</v>
      </c>
      <c r="R231" s="80">
        <f t="shared" si="3"/>
        <v>0</v>
      </c>
      <c r="S231" s="80">
        <f t="shared" si="4"/>
        <v>0</v>
      </c>
      <c r="T231" s="80">
        <f>IFERROR(IF(AND(G231&lt;&gt; 0, (S231)/ _xlfn.XLOOKUP('3. Food costs'!C64,Table2[Item],Table2[Energy (kcal) per 100g edible portion],0) * 100 &gt;G231 - N231),IF(G231-N231&lt;0,0,G231-N231), (S231)/ _xlfn.XLOOKUP('3. Food costs'!C64,Table2[Item],Table2[Energy (kcal) per 100g edible portion],0) * 100),0)</f>
        <v>0</v>
      </c>
      <c r="U231" s="80">
        <f t="shared" si="14"/>
        <v>60</v>
      </c>
      <c r="V231" s="80">
        <f>U231*_xlfn.XLOOKUP('3. Food costs'!C64,Table2[Item],Table2[Energy (kcal) per 100g edible portion],0) / 100</f>
        <v>32.94</v>
      </c>
      <c r="W231" s="80" t="str">
        <f t="shared" si="15"/>
        <v/>
      </c>
      <c r="X231" s="80">
        <f t="shared" si="5"/>
        <v>0</v>
      </c>
      <c r="Y231" s="80">
        <f t="shared" si="6"/>
        <v>0</v>
      </c>
      <c r="Z231" s="80">
        <f t="shared" si="16"/>
        <v>0</v>
      </c>
      <c r="AA231" s="80">
        <f>IFERROR(IF(AND(G231 &lt;&gt;0, Z231 / _xlfn.XLOOKUP('3. Food costs'!C64,Table2[Item],Table2[Energy (kcal) per 100g edible portion],0) * 100 &gt;G231 - U231),IF(G231-U231&lt;0,0,G231-U231), Z231 / _xlfn.XLOOKUP('3. Food costs'!C64,Table2[Item],Table2[Energy (kcal) per 100g edible portion],0) * 100),0)</f>
        <v>0</v>
      </c>
      <c r="AB231" s="82">
        <f t="shared" si="7"/>
        <v>60</v>
      </c>
      <c r="AC231" s="73">
        <f>AB231*_xlfn.XLOOKUP(C231,Table2[Item],Table2[Energy (kcal) per 100g edible portion],0) / 100</f>
        <v>32.94</v>
      </c>
      <c r="AD231" s="80">
        <f>AB231*_xlfn.XLOOKUP(C231,Table2[Item],Table2[Carbohydrate (g)],0) / 100</f>
        <v>7.8</v>
      </c>
      <c r="AE231" s="80">
        <f>AB231*_xlfn.XLOOKUP(C231,Table2[Item],Table2[Protein (g)],0) / 100</f>
        <v>0.3</v>
      </c>
      <c r="AF231" s="80">
        <f>AB231*_xlfn.XLOOKUP(C231,Table2[Item],Table2[Fat, total (g)],0) / 100</f>
        <v>0.06</v>
      </c>
    </row>
    <row r="232" spans="1:32" x14ac:dyDescent="0.2">
      <c r="A232" s="22">
        <f>COUNTIFS($B$216:B232,B232)</f>
        <v>1</v>
      </c>
      <c r="B232" s="22" t="str">
        <f>'Nutritional input'!C128</f>
        <v>Oils &amp; Fats</v>
      </c>
      <c r="C232" s="22" t="str">
        <f>'Nutritional input'!D128</f>
        <v>Cooking Oil</v>
      </c>
      <c r="D232" s="45">
        <f>IF(ISBLANK('Nutritional input'!E128),A232,VLOOKUP('Nutritional input'!E128,'Background calculations'!$B$202:$C$206,2,FALSE))</f>
        <v>2</v>
      </c>
      <c r="E232" s="80">
        <f>_xlfn.XLOOKUP('3. Food costs'!C65,Table2[Item],Table2[Price per calorie],0)</f>
        <v>1.3888888888888888</v>
      </c>
      <c r="F232" s="80">
        <f>'Nutritional input'!F128</f>
        <v>30</v>
      </c>
      <c r="G232" s="80">
        <f>'Nutritional input'!G128</f>
        <v>34</v>
      </c>
      <c r="H232" s="80">
        <f>F232*_xlfn.XLOOKUP('3. Food costs'!C65,Table2[Item],Table2[Energy (kcal) per 100g edible portion],0) / 100</f>
        <v>270</v>
      </c>
      <c r="I232" s="80">
        <f t="shared" si="8"/>
        <v>1.3888888888888888</v>
      </c>
      <c r="J232" s="80">
        <f t="shared" si="9"/>
        <v>4</v>
      </c>
      <c r="K232" s="377">
        <f t="shared" si="2"/>
        <v>0.10169491525423729</v>
      </c>
      <c r="L232" s="81">
        <f t="shared" si="10"/>
        <v>49.397452067796642</v>
      </c>
      <c r="M232" s="80">
        <f>IFERROR(IF(AND(G232 &lt;&gt; 0,L232 / _xlfn.XLOOKUP('3. Food costs'!C65,Table2[Item],Table2[Energy (kcal) per 100g edible portion],0) * 100 &gt;G232 - F232),IF(G232-F232&lt;0,0,G232-F232), L232 / _xlfn.XLOOKUP('3. Food costs'!C65,Table2[Item],Table2[Energy (kcal) per 100g edible portion],0) * 100),0)</f>
        <v>4</v>
      </c>
      <c r="N232" s="80">
        <f t="shared" si="11"/>
        <v>34</v>
      </c>
      <c r="O232" s="80">
        <f>N232*_xlfn.XLOOKUP('3. Food costs'!C65,Table2[Item],Table2[Energy (kcal) per 100g edible portion],0) / 100</f>
        <v>306</v>
      </c>
      <c r="P232" s="80" t="str">
        <f t="shared" si="12"/>
        <v/>
      </c>
      <c r="Q232" s="80">
        <f t="shared" si="13"/>
        <v>0</v>
      </c>
      <c r="R232" s="80">
        <f t="shared" si="3"/>
        <v>0</v>
      </c>
      <c r="S232" s="80">
        <f t="shared" si="4"/>
        <v>0</v>
      </c>
      <c r="T232" s="80">
        <f>IFERROR(IF(AND(G232&lt;&gt; 0, (S232)/ _xlfn.XLOOKUP('3. Food costs'!C65,Table2[Item],Table2[Energy (kcal) per 100g edible portion],0) * 100 &gt;G232 - N232),IF(G232-N232&lt;0,0,G232-N232), (S232)/ _xlfn.XLOOKUP('3. Food costs'!C65,Table2[Item],Table2[Energy (kcal) per 100g edible portion],0) * 100),0)</f>
        <v>0</v>
      </c>
      <c r="U232" s="80">
        <f t="shared" si="14"/>
        <v>34</v>
      </c>
      <c r="V232" s="80">
        <f>U232*_xlfn.XLOOKUP('3. Food costs'!C65,Table2[Item],Table2[Energy (kcal) per 100g edible portion],0) / 100</f>
        <v>306</v>
      </c>
      <c r="W232" s="80" t="str">
        <f t="shared" si="15"/>
        <v/>
      </c>
      <c r="X232" s="80">
        <f t="shared" si="5"/>
        <v>0</v>
      </c>
      <c r="Y232" s="80">
        <f t="shared" si="6"/>
        <v>0</v>
      </c>
      <c r="Z232" s="80">
        <f t="shared" si="16"/>
        <v>0</v>
      </c>
      <c r="AA232" s="80">
        <f>IFERROR(IF(AND(G232 &lt;&gt;0, Z232 / _xlfn.XLOOKUP('3. Food costs'!C65,Table2[Item],Table2[Energy (kcal) per 100g edible portion],0) * 100 &gt;G232 - U232),IF(G232-U232&lt;0,0,G232-U232), Z232 / _xlfn.XLOOKUP('3. Food costs'!C65,Table2[Item],Table2[Energy (kcal) per 100g edible portion],0) * 100),0)</f>
        <v>0</v>
      </c>
      <c r="AB232" s="82">
        <f t="shared" si="7"/>
        <v>34</v>
      </c>
      <c r="AC232" s="73">
        <f>AB232*_xlfn.XLOOKUP(C232,Table2[Item],Table2[Energy (kcal) per 100g edible portion],0) / 100</f>
        <v>306</v>
      </c>
      <c r="AD232" s="80">
        <f>AB232*_xlfn.XLOOKUP(C232,Table2[Item],Table2[Carbohydrate (g)],0) / 100</f>
        <v>0</v>
      </c>
      <c r="AE232" s="80">
        <f>AB232*_xlfn.XLOOKUP(C232,Table2[Item],Table2[Protein (g)],0) / 100</f>
        <v>0</v>
      </c>
      <c r="AF232" s="80">
        <f>AB232*_xlfn.XLOOKUP(C232,Table2[Item],Table2[Fat, total (g)],0) / 100</f>
        <v>34</v>
      </c>
    </row>
    <row r="233" spans="1:32" x14ac:dyDescent="0.2">
      <c r="A233" s="22">
        <f>COUNTIFS($B$216:B233,B233)</f>
        <v>1</v>
      </c>
      <c r="B233" s="22" t="str">
        <f>'Nutritional input'!C129</f>
        <v>Nonalcoholic beverages</v>
      </c>
      <c r="C233" s="22" t="str">
        <f>'Nutritional input'!D129</f>
        <v>soda</v>
      </c>
      <c r="D233" s="45">
        <f>IF(ISBLANK('Nutritional input'!E129),A233,VLOOKUP('Nutritional input'!E129,'Background calculations'!$B$202:$C$206,2,FALSE))</f>
        <v>2</v>
      </c>
      <c r="E233" s="80">
        <f>_xlfn.XLOOKUP('3. Food costs'!C66,Table2[Item],Table2[Price per calorie],0)</f>
        <v>0</v>
      </c>
      <c r="F233" s="80">
        <f>'Nutritional input'!F129</f>
        <v>2</v>
      </c>
      <c r="G233" s="80">
        <f>'Nutritional input'!G129</f>
        <v>2</v>
      </c>
      <c r="H233" s="80">
        <f>F233*_xlfn.XLOOKUP('3. Food costs'!C66,Table2[Item],Table2[Energy (kcal) per 100g edible portion],0) / 100</f>
        <v>0</v>
      </c>
      <c r="I233" s="80" t="str">
        <f t="shared" si="8"/>
        <v/>
      </c>
      <c r="J233" s="80">
        <f t="shared" si="9"/>
        <v>0</v>
      </c>
      <c r="K233" s="377">
        <f t="shared" si="2"/>
        <v>0</v>
      </c>
      <c r="L233" s="81">
        <f t="shared" si="10"/>
        <v>0</v>
      </c>
      <c r="M233" s="80">
        <f>IFERROR(IF(AND(G233 &lt;&gt; 0,L233 / _xlfn.XLOOKUP('3. Food costs'!C66,Table2[Item],Table2[Energy (kcal) per 100g edible portion],0) * 100 &gt;G233 - F233),IF(G233-F233&lt;0,0,G233-F233), L233 / _xlfn.XLOOKUP('3. Food costs'!C66,Table2[Item],Table2[Energy (kcal) per 100g edible portion],0) * 100),0)</f>
        <v>0</v>
      </c>
      <c r="N233" s="80">
        <f t="shared" si="11"/>
        <v>2</v>
      </c>
      <c r="O233" s="80">
        <f>N233*_xlfn.XLOOKUP('3. Food costs'!C66,Table2[Item],Table2[Energy (kcal) per 100g edible portion],0) / 100</f>
        <v>0</v>
      </c>
      <c r="P233" s="80" t="str">
        <f t="shared" si="12"/>
        <v/>
      </c>
      <c r="Q233" s="80">
        <f t="shared" si="13"/>
        <v>0</v>
      </c>
      <c r="R233" s="80">
        <f t="shared" si="3"/>
        <v>0</v>
      </c>
      <c r="S233" s="80">
        <f t="shared" si="4"/>
        <v>0</v>
      </c>
      <c r="T233" s="80">
        <f>IFERROR(IF(AND(G233&lt;&gt; 0, (S233)/ _xlfn.XLOOKUP('3. Food costs'!C66,Table2[Item],Table2[Energy (kcal) per 100g edible portion],0) * 100 &gt;G233 - N233),IF(G233-N233&lt;0,0,G233-N233), (S233)/ _xlfn.XLOOKUP('3. Food costs'!C66,Table2[Item],Table2[Energy (kcal) per 100g edible portion],0) * 100),0)</f>
        <v>0</v>
      </c>
      <c r="U233" s="80">
        <f t="shared" si="14"/>
        <v>2</v>
      </c>
      <c r="V233" s="80">
        <f>U233*_xlfn.XLOOKUP('3. Food costs'!C66,Table2[Item],Table2[Energy (kcal) per 100g edible portion],0) / 100</f>
        <v>0</v>
      </c>
      <c r="W233" s="80" t="str">
        <f t="shared" si="15"/>
        <v/>
      </c>
      <c r="X233" s="80">
        <f t="shared" si="5"/>
        <v>0</v>
      </c>
      <c r="Y233" s="80">
        <f t="shared" si="6"/>
        <v>0</v>
      </c>
      <c r="Z233" s="80">
        <f t="shared" si="16"/>
        <v>0</v>
      </c>
      <c r="AA233" s="80">
        <f>IFERROR(IF(AND(G233 &lt;&gt;0, Z233 / _xlfn.XLOOKUP('3. Food costs'!C66,Table2[Item],Table2[Energy (kcal) per 100g edible portion],0) * 100 &gt;G233 - U233),IF(G233-U233&lt;0,0,G233-U233), Z233 / _xlfn.XLOOKUP('3. Food costs'!C66,Table2[Item],Table2[Energy (kcal) per 100g edible portion],0) * 100),0)</f>
        <v>0</v>
      </c>
      <c r="AB233" s="82">
        <f t="shared" si="7"/>
        <v>2</v>
      </c>
      <c r="AC233" s="73">
        <f>AB233*_xlfn.XLOOKUP(C233,Table2[Item],Table2[Energy (kcal) per 100g edible portion],0) / 100</f>
        <v>0</v>
      </c>
      <c r="AD233" s="80">
        <f>AB233*_xlfn.XLOOKUP(C233,Table2[Item],Table2[Carbohydrate (g)],0) / 100</f>
        <v>0</v>
      </c>
      <c r="AE233" s="80">
        <f>AB233*_xlfn.XLOOKUP(C233,Table2[Item],Table2[Protein (g)],0) / 100</f>
        <v>0</v>
      </c>
      <c r="AF233" s="80">
        <f>AB233*_xlfn.XLOOKUP(C233,Table2[Item],Table2[Fat, total (g)],0) / 100</f>
        <v>0</v>
      </c>
    </row>
    <row r="234" spans="1:32" x14ac:dyDescent="0.2">
      <c r="A234" s="22">
        <f>COUNTIFS($B$216:B234,B234)</f>
        <v>1</v>
      </c>
      <c r="B234" s="22" t="str">
        <f>'Nutritional input'!C130</f>
        <v>Other</v>
      </c>
      <c r="C234" s="22" t="str">
        <f>'Nutritional input'!D130</f>
        <v>Non Alcoholic Kombucha</v>
      </c>
      <c r="D234" s="45">
        <f>IF(ISBLANK('Nutritional input'!E130),A234,VLOOKUP('Nutritional input'!E130,'Background calculations'!$B$202:$C$206,2,FALSE))</f>
        <v>1</v>
      </c>
      <c r="E234" s="80">
        <f>_xlfn.XLOOKUP('3. Food costs'!C67,Table2[Item],Table2[Price per calorie],0)</f>
        <v>0</v>
      </c>
      <c r="F234" s="80">
        <f>'Nutritional input'!F130</f>
        <v>30</v>
      </c>
      <c r="G234" s="80">
        <f>'Nutritional input'!G130</f>
        <v>30</v>
      </c>
      <c r="H234" s="80">
        <f>F234*_xlfn.XLOOKUP('3. Food costs'!C67,Table2[Item],Table2[Energy (kcal) per 100g edible portion],0) / 100</f>
        <v>0</v>
      </c>
      <c r="I234" s="80" t="str">
        <f t="shared" si="8"/>
        <v/>
      </c>
      <c r="J234" s="80">
        <f t="shared" si="9"/>
        <v>0</v>
      </c>
      <c r="K234" s="377">
        <f t="shared" si="2"/>
        <v>0</v>
      </c>
      <c r="L234" s="81">
        <f t="shared" si="10"/>
        <v>0</v>
      </c>
      <c r="M234" s="80">
        <f>IFERROR(IF(AND(G234 &lt;&gt; 0,L234 / _xlfn.XLOOKUP('3. Food costs'!C67,Table2[Item],Table2[Energy (kcal) per 100g edible portion],0) * 100 &gt;G234 - F234),IF(G234-F234&lt;0,0,G234-F234), L234 / _xlfn.XLOOKUP('3. Food costs'!C67,Table2[Item],Table2[Energy (kcal) per 100g edible portion],0) * 100),0)</f>
        <v>0</v>
      </c>
      <c r="N234" s="80">
        <f t="shared" si="11"/>
        <v>30</v>
      </c>
      <c r="O234" s="80">
        <f>N234*_xlfn.XLOOKUP('3. Food costs'!C67,Table2[Item],Table2[Energy (kcal) per 100g edible portion],0) / 100</f>
        <v>0</v>
      </c>
      <c r="P234" s="80" t="str">
        <f t="shared" si="12"/>
        <v/>
      </c>
      <c r="Q234" s="80">
        <f t="shared" si="13"/>
        <v>0</v>
      </c>
      <c r="R234" s="80">
        <f t="shared" si="3"/>
        <v>0</v>
      </c>
      <c r="S234" s="80">
        <f t="shared" si="4"/>
        <v>0</v>
      </c>
      <c r="T234" s="80">
        <f>IFERROR(IF(AND(G234&lt;&gt; 0, (S234)/ _xlfn.XLOOKUP('3. Food costs'!C67,Table2[Item],Table2[Energy (kcal) per 100g edible portion],0) * 100 &gt;G234 - N234),IF(G234-N234&lt;0,0,G234-N234), (S234)/ _xlfn.XLOOKUP('3. Food costs'!C67,Table2[Item],Table2[Energy (kcal) per 100g edible portion],0) * 100),0)</f>
        <v>0</v>
      </c>
      <c r="U234" s="80">
        <f t="shared" si="14"/>
        <v>30</v>
      </c>
      <c r="V234" s="80">
        <f>U234*_xlfn.XLOOKUP('3. Food costs'!C67,Table2[Item],Table2[Energy (kcal) per 100g edible portion],0) / 100</f>
        <v>0</v>
      </c>
      <c r="W234" s="80" t="str">
        <f t="shared" si="15"/>
        <v/>
      </c>
      <c r="X234" s="80">
        <f t="shared" si="5"/>
        <v>0</v>
      </c>
      <c r="Y234" s="80">
        <f t="shared" si="6"/>
        <v>0</v>
      </c>
      <c r="Z234" s="80">
        <f t="shared" si="16"/>
        <v>0</v>
      </c>
      <c r="AA234" s="80">
        <f>IFERROR(IF(AND(G234 &lt;&gt;0, Z234 / _xlfn.XLOOKUP('3. Food costs'!C67,Table2[Item],Table2[Energy (kcal) per 100g edible portion],0) * 100 &gt;G234 - U234),IF(G234-U234&lt;0,0,G234-U234), Z234 / _xlfn.XLOOKUP('3. Food costs'!C67,Table2[Item],Table2[Energy (kcal) per 100g edible portion],0) * 100),0)</f>
        <v>0</v>
      </c>
      <c r="AB234" s="82">
        <f t="shared" si="7"/>
        <v>30</v>
      </c>
      <c r="AC234" s="73">
        <f>AB234*_xlfn.XLOOKUP(C234,Table2[Item],Table2[Energy (kcal) per 100g edible portion],0) / 100</f>
        <v>0</v>
      </c>
      <c r="AD234" s="80">
        <f>AB234*_xlfn.XLOOKUP(C234,Table2[Item],Table2[Carbohydrate (g)],0) / 100</f>
        <v>0</v>
      </c>
      <c r="AE234" s="80">
        <f>AB234*_xlfn.XLOOKUP(C234,Table2[Item],Table2[Protein (g)],0) / 100</f>
        <v>0</v>
      </c>
      <c r="AF234" s="80">
        <f>AB234*_xlfn.XLOOKUP(C234,Table2[Item],Table2[Fat, total (g)],0) / 100</f>
        <v>0</v>
      </c>
    </row>
    <row r="235" spans="1:32" x14ac:dyDescent="0.2">
      <c r="E235" s="83"/>
      <c r="H235" s="84">
        <f>SUM(H216:H234)</f>
        <v>2281.3950000000004</v>
      </c>
      <c r="J235" s="84">
        <f>SUM(J216:J234)</f>
        <v>118</v>
      </c>
      <c r="O235" s="84">
        <f>SUM(O216:O234)</f>
        <v>2677.738529762712</v>
      </c>
      <c r="Q235" s="84">
        <f>SUM(Q216:Q234)</f>
        <v>35</v>
      </c>
      <c r="V235" s="37">
        <f>SUM(V216:V234)</f>
        <v>2767.9707463670707</v>
      </c>
      <c r="W235" s="84">
        <f>SUM(X216:X234)</f>
        <v>27</v>
      </c>
      <c r="AB235" s="60" t="s">
        <v>494</v>
      </c>
      <c r="AC235" s="85">
        <f>SUM(AC216:AC234)</f>
        <v>2767.9707463670707</v>
      </c>
    </row>
    <row r="236" spans="1:32" x14ac:dyDescent="0.2">
      <c r="S236" s="86"/>
    </row>
    <row r="237" spans="1:32" ht="19" x14ac:dyDescent="0.25">
      <c r="B237" s="74" t="s">
        <v>310</v>
      </c>
    </row>
    <row r="239" spans="1:32" x14ac:dyDescent="0.2">
      <c r="B239" s="87"/>
      <c r="C239" s="88" t="s">
        <v>36</v>
      </c>
      <c r="D239" s="88" t="s">
        <v>165</v>
      </c>
      <c r="E239" s="88" t="s">
        <v>164</v>
      </c>
      <c r="F239" s="88" t="s">
        <v>166</v>
      </c>
      <c r="R239" s="86"/>
    </row>
    <row r="240" spans="1:32" x14ac:dyDescent="0.2">
      <c r="B240" s="60" t="s">
        <v>306</v>
      </c>
      <c r="C240" s="89">
        <f>SUM(AC216:AC234)</f>
        <v>2767.9707463670707</v>
      </c>
      <c r="D240" s="89">
        <f>SUM(AD216:AD234)</f>
        <v>419.121855212296</v>
      </c>
      <c r="E240" s="89">
        <f>SUM(AE216:AE234)</f>
        <v>73.030483457623561</v>
      </c>
      <c r="F240" s="89">
        <f>SUM(AF216:AF234)</f>
        <v>88.817932409710352</v>
      </c>
    </row>
    <row r="241" spans="1:35" x14ac:dyDescent="0.2">
      <c r="B241" s="22" t="s">
        <v>308</v>
      </c>
      <c r="D241" s="90">
        <v>4</v>
      </c>
      <c r="E241" s="90">
        <v>4</v>
      </c>
      <c r="F241" s="90">
        <v>9</v>
      </c>
    </row>
    <row r="242" spans="1:35" x14ac:dyDescent="0.2">
      <c r="B242" s="22" t="s">
        <v>307</v>
      </c>
      <c r="D242" s="89">
        <f>'Background calculations'!D241*'Background calculations'!D240</f>
        <v>1676.487420849184</v>
      </c>
      <c r="E242" s="89">
        <f>'Background calculations'!E241*'Background calculations'!E240</f>
        <v>292.12193383049424</v>
      </c>
      <c r="F242" s="89">
        <f>'Background calculations'!F241*'Background calculations'!F240</f>
        <v>799.36139168739317</v>
      </c>
    </row>
    <row r="243" spans="1:35" x14ac:dyDescent="0.2">
      <c r="B243" s="22" t="s">
        <v>309</v>
      </c>
      <c r="D243" s="110">
        <f>D242/$C$240</f>
        <v>0.60567382189625896</v>
      </c>
      <c r="E243" s="110">
        <f>E242/$C$240</f>
        <v>0.10553649608251853</v>
      </c>
      <c r="F243" s="110">
        <f>F242/$C$240</f>
        <v>0.28878968202122285</v>
      </c>
    </row>
    <row r="246" spans="1:35" x14ac:dyDescent="0.2">
      <c r="G246" s="86">
        <f>SUM(H246:J246)</f>
        <v>0</v>
      </c>
      <c r="H246" s="86"/>
      <c r="I246" s="86"/>
      <c r="J246" s="86"/>
    </row>
    <row r="247" spans="1:35" ht="19" x14ac:dyDescent="0.25">
      <c r="B247" s="74" t="s">
        <v>33</v>
      </c>
    </row>
    <row r="248" spans="1:35" x14ac:dyDescent="0.2">
      <c r="E248" s="324" t="s">
        <v>561</v>
      </c>
      <c r="F248" s="91"/>
    </row>
    <row r="249" spans="1:35" x14ac:dyDescent="0.2">
      <c r="B249" s="87" t="s">
        <v>32</v>
      </c>
      <c r="C249" s="91" t="s">
        <v>34</v>
      </c>
      <c r="E249" s="22" t="s">
        <v>562</v>
      </c>
      <c r="F249" s="90">
        <v>0.2</v>
      </c>
    </row>
    <row r="250" spans="1:35" x14ac:dyDescent="0.2">
      <c r="B250" s="22" t="s">
        <v>30</v>
      </c>
      <c r="C250" s="90">
        <v>0.82</v>
      </c>
      <c r="E250" s="22" t="s">
        <v>563</v>
      </c>
      <c r="F250" s="90">
        <v>0.4</v>
      </c>
    </row>
    <row r="251" spans="1:35" x14ac:dyDescent="0.2">
      <c r="B251" s="22" t="s">
        <v>35</v>
      </c>
      <c r="C251" s="90">
        <v>0.75</v>
      </c>
      <c r="E251" s="22" t="s">
        <v>564</v>
      </c>
      <c r="F251" s="90">
        <v>0.4</v>
      </c>
    </row>
    <row r="252" spans="1:35" x14ac:dyDescent="0.2">
      <c r="B252" s="22" t="s">
        <v>244</v>
      </c>
      <c r="E252" s="22" t="s">
        <v>477</v>
      </c>
    </row>
    <row r="253" spans="1:35" s="25" customFormat="1" ht="21.75" customHeight="1" x14ac:dyDescent="0.2">
      <c r="A253" s="22"/>
      <c r="B253" s="22"/>
      <c r="C253" s="22"/>
      <c r="D253" s="22"/>
      <c r="E253" s="22"/>
      <c r="F253" s="22"/>
      <c r="G253" s="22"/>
      <c r="H253" s="22"/>
      <c r="I253" s="22"/>
      <c r="J253" s="22"/>
      <c r="K253" s="22"/>
      <c r="L253" s="22"/>
      <c r="M253" s="22"/>
      <c r="N253" s="22"/>
      <c r="O253" s="22"/>
      <c r="P253" s="22"/>
      <c r="R253" s="22"/>
      <c r="S253" s="22"/>
      <c r="T253" s="22"/>
      <c r="U253" s="22"/>
      <c r="V253" s="22"/>
      <c r="W253" s="22"/>
      <c r="X253" s="22"/>
      <c r="Y253" s="22"/>
      <c r="Z253" s="22"/>
      <c r="AA253" s="22"/>
      <c r="AB253" s="22"/>
      <c r="AC253" s="22"/>
      <c r="AD253" s="22"/>
      <c r="AE253" s="22"/>
      <c r="AF253" s="22"/>
      <c r="AG253" s="22"/>
      <c r="AH253" s="22"/>
      <c r="AI253" s="22"/>
    </row>
    <row r="254" spans="1:35" ht="21" x14ac:dyDescent="0.25">
      <c r="A254" s="25"/>
      <c r="B254" s="24" t="s">
        <v>402</v>
      </c>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row>
    <row r="257" spans="2:21" x14ac:dyDescent="0.2">
      <c r="B257" s="28" t="s">
        <v>409</v>
      </c>
      <c r="C257" s="28"/>
      <c r="D257" s="28"/>
      <c r="E257" s="28"/>
      <c r="F257" s="28"/>
      <c r="G257" s="28"/>
      <c r="H257" s="28"/>
      <c r="I257" s="28"/>
      <c r="J257" s="28"/>
      <c r="K257" s="28"/>
      <c r="L257" s="28"/>
      <c r="M257" s="28"/>
      <c r="N257" s="28"/>
      <c r="O257" s="28"/>
      <c r="P257" s="28"/>
      <c r="Q257" s="28"/>
      <c r="R257" s="28"/>
      <c r="S257" s="28"/>
      <c r="T257" s="28"/>
      <c r="U257" s="28"/>
    </row>
    <row r="259" spans="2:21" x14ac:dyDescent="0.2">
      <c r="C259" s="92" t="s">
        <v>289</v>
      </c>
      <c r="D259" s="75"/>
      <c r="E259" s="75"/>
      <c r="F259" s="75"/>
      <c r="G259" s="75"/>
      <c r="H259" s="75"/>
      <c r="I259" s="75"/>
      <c r="J259" s="75"/>
      <c r="K259" s="75"/>
      <c r="L259" s="75"/>
      <c r="M259" s="75"/>
      <c r="N259" s="75"/>
      <c r="O259" s="75"/>
      <c r="P259" s="75"/>
      <c r="Q259" s="75"/>
    </row>
    <row r="260" spans="2:21" x14ac:dyDescent="0.2">
      <c r="B260" s="93" t="s">
        <v>64</v>
      </c>
      <c r="C260" s="94"/>
      <c r="D260" s="95"/>
      <c r="E260" s="95"/>
      <c r="F260" s="95"/>
      <c r="G260" s="95"/>
      <c r="H260" s="95"/>
      <c r="I260" s="95"/>
      <c r="J260" s="95"/>
      <c r="K260" s="95"/>
      <c r="L260" s="95"/>
      <c r="M260" s="95"/>
      <c r="N260" s="95"/>
      <c r="O260" s="95"/>
      <c r="P260" s="95"/>
      <c r="Q260" s="95"/>
      <c r="R260" s="93"/>
    </row>
    <row r="261" spans="2:21" ht="16" x14ac:dyDescent="0.2">
      <c r="B261" s="96" t="s">
        <v>403</v>
      </c>
      <c r="C261" s="97" t="s">
        <v>397</v>
      </c>
      <c r="D261" s="98">
        <f>IFERROR('CLS - Input data'!D32/'CLS - Input data'!D22,"")</f>
        <v>25000</v>
      </c>
      <c r="E261" s="98">
        <f>IFERROR('CLS - Input data'!E32/'CLS - Input data'!E22,"")</f>
        <v>29583.25</v>
      </c>
      <c r="F261" s="98">
        <f>IFERROR('CLS - Input data'!F32/'CLS - Input data'!F22,"")</f>
        <v>46666.5</v>
      </c>
      <c r="G261" s="98">
        <f>IFERROR('CLS - Input data'!G32/'CLS - Input data'!G22,"")</f>
        <v>46666.666666666664</v>
      </c>
      <c r="H261" s="98">
        <f>IFERROR('CLS - Input data'!H32/'CLS - Input data'!H22,"")</f>
        <v>30833.25</v>
      </c>
      <c r="I261" s="98">
        <f>IFERROR('CLS - Input data'!I32/'CLS - Input data'!I22,"")</f>
        <v>26666.666666666668</v>
      </c>
      <c r="J261" s="98">
        <f>IFERROR('CLS - Input data'!J32/'CLS - Input data'!J22,"")</f>
        <v>35000</v>
      </c>
      <c r="K261" s="98">
        <f>IFERROR('CLS - Input data'!K32/'CLS - Input data'!K22,"")</f>
        <v>49166.5</v>
      </c>
      <c r="L261" s="98">
        <f>IFERROR('CLS - Input data'!L32/'CLS - Input data'!L22,"")</f>
        <v>41666.75</v>
      </c>
      <c r="M261" s="98">
        <f>IFERROR('CLS - Input data'!M32/'CLS - Input data'!M22,"")</f>
        <v>31666.75</v>
      </c>
      <c r="N261" s="98">
        <f>IFERROR('CLS - Input data'!N32/'CLS - Input data'!N22,"")</f>
        <v>20000</v>
      </c>
      <c r="O261" s="98" t="str">
        <f>IFERROR('CLS - Input data'!O32/'CLS - Input data'!O22,"")</f>
        <v/>
      </c>
      <c r="P261" s="98">
        <f>IFERROR('CLS - Input data'!P32/'CLS - Input data'!P22,"")</f>
        <v>22222.333333333332</v>
      </c>
      <c r="Q261" s="98">
        <f>IFERROR('CLS - Input data'!Q32/'CLS - Input data'!Q22,"")</f>
        <v>26666.666666666668</v>
      </c>
      <c r="R261" s="98">
        <f>IFERROR('CLS - Input data'!R32/'CLS - Input data'!R22,"")</f>
        <v>12222.166666666666</v>
      </c>
    </row>
    <row r="262" spans="2:21" ht="32" x14ac:dyDescent="0.2">
      <c r="B262" s="96" t="s">
        <v>252</v>
      </c>
      <c r="C262" s="99" t="s">
        <v>397</v>
      </c>
      <c r="D262" s="98">
        <f>AVERAGEIF(D261:R261,"&gt;0",D261:R261)</f>
        <v>31716.25</v>
      </c>
      <c r="E262" s="100"/>
      <c r="F262" s="100"/>
      <c r="G262" s="100"/>
      <c r="H262" s="100"/>
      <c r="I262" s="100"/>
      <c r="J262" s="100"/>
      <c r="K262" s="100"/>
      <c r="L262" s="100"/>
      <c r="M262" s="100"/>
      <c r="N262" s="100"/>
      <c r="O262" s="100"/>
      <c r="P262" s="100"/>
      <c r="Q262" s="100"/>
      <c r="R262" s="100"/>
    </row>
    <row r="263" spans="2:21" ht="32" x14ac:dyDescent="0.2">
      <c r="B263" s="96" t="s">
        <v>252</v>
      </c>
      <c r="C263" s="99" t="s">
        <v>253</v>
      </c>
      <c r="D263" s="98">
        <f>D262/'OUTPUT_Living wage'!$E$10</f>
        <v>8.6302721088435366</v>
      </c>
      <c r="E263" s="100"/>
      <c r="F263" s="100"/>
      <c r="G263" s="100"/>
      <c r="H263" s="100"/>
      <c r="I263" s="100"/>
      <c r="J263" s="100"/>
      <c r="K263" s="100"/>
      <c r="L263" s="100"/>
      <c r="M263" s="100"/>
      <c r="N263" s="100"/>
      <c r="O263" s="100"/>
      <c r="P263" s="100"/>
      <c r="Q263" s="100"/>
      <c r="R263" s="100"/>
    </row>
    <row r="264" spans="2:21" x14ac:dyDescent="0.2">
      <c r="B264" s="101"/>
      <c r="C264" s="102"/>
      <c r="D264" s="100"/>
      <c r="E264" s="100"/>
      <c r="F264" s="100"/>
      <c r="G264" s="100"/>
      <c r="H264" s="100"/>
      <c r="I264" s="100"/>
      <c r="J264" s="100"/>
      <c r="K264" s="100"/>
      <c r="L264" s="100"/>
      <c r="M264" s="100"/>
      <c r="N264" s="100"/>
      <c r="O264" s="100"/>
      <c r="P264" s="100"/>
      <c r="Q264" s="100"/>
      <c r="R264" s="100"/>
    </row>
    <row r="265" spans="2:21" x14ac:dyDescent="0.2">
      <c r="B265" s="93" t="s">
        <v>46</v>
      </c>
      <c r="C265" s="94"/>
      <c r="D265" s="95"/>
      <c r="E265" s="95"/>
      <c r="F265" s="95"/>
      <c r="G265" s="95"/>
      <c r="H265" s="95"/>
      <c r="I265" s="95"/>
      <c r="J265" s="95"/>
      <c r="K265" s="95"/>
      <c r="L265" s="95"/>
      <c r="M265" s="95"/>
      <c r="N265" s="95"/>
      <c r="O265" s="95"/>
      <c r="P265" s="95"/>
      <c r="Q265" s="95"/>
      <c r="R265" s="93"/>
    </row>
    <row r="266" spans="2:21" ht="16" x14ac:dyDescent="0.2">
      <c r="B266" s="96" t="s">
        <v>404</v>
      </c>
      <c r="C266" s="97" t="s">
        <v>397</v>
      </c>
      <c r="D266" s="98">
        <f>'CLS - Input data'!D31/'CLS - Input data'!D18</f>
        <v>0</v>
      </c>
      <c r="E266" s="98">
        <f>'CLS - Input data'!E31/'CLS - Input data'!E18</f>
        <v>6666.75</v>
      </c>
      <c r="F266" s="98">
        <f>'CLS - Input data'!F31/'CLS - Input data'!F18</f>
        <v>0</v>
      </c>
      <c r="G266" s="98">
        <f>'CLS - Input data'!G31/'CLS - Input data'!G18</f>
        <v>0</v>
      </c>
      <c r="H266" s="98">
        <f>'CLS - Input data'!H31/'CLS - Input data'!H18</f>
        <v>0</v>
      </c>
      <c r="I266" s="98">
        <f>'CLS - Input data'!I31/'CLS - Input data'!I18</f>
        <v>0</v>
      </c>
      <c r="J266" s="98">
        <f>'CLS - Input data'!J31/'CLS - Input data'!J18</f>
        <v>0</v>
      </c>
      <c r="K266" s="98">
        <f>'CLS - Input data'!K31/'CLS - Input data'!K18</f>
        <v>0</v>
      </c>
      <c r="L266" s="98">
        <f>'CLS - Input data'!L31/'CLS - Input data'!L18</f>
        <v>0</v>
      </c>
      <c r="M266" s="98">
        <f>'CLS - Input data'!M31/'CLS - Input data'!M18</f>
        <v>0</v>
      </c>
      <c r="N266" s="98">
        <f>'CLS - Input data'!N31/'CLS - Input data'!N18</f>
        <v>6666.75</v>
      </c>
      <c r="O266" s="98">
        <f>'CLS - Input data'!O31/'CLS - Input data'!O18</f>
        <v>0</v>
      </c>
      <c r="P266" s="98">
        <f>'CLS - Input data'!P31/'CLS - Input data'!P18</f>
        <v>8333.25</v>
      </c>
      <c r="Q266" s="98">
        <f>'CLS - Input data'!Q31/'CLS - Input data'!Q18</f>
        <v>0</v>
      </c>
      <c r="R266" s="98">
        <f>'CLS - Input data'!R31/'CLS - Input data'!R18</f>
        <v>6666.75</v>
      </c>
    </row>
    <row r="267" spans="2:21" ht="32" x14ac:dyDescent="0.2">
      <c r="B267" s="96" t="s">
        <v>252</v>
      </c>
      <c r="C267" s="99" t="s">
        <v>397</v>
      </c>
      <c r="D267" s="98">
        <f>AVERAGE(D266:Q266)</f>
        <v>1547.625</v>
      </c>
      <c r="E267" s="100"/>
      <c r="F267" s="100"/>
      <c r="G267" s="100"/>
      <c r="H267" s="100"/>
      <c r="I267" s="100"/>
      <c r="J267" s="100"/>
      <c r="K267" s="100"/>
      <c r="L267" s="100"/>
      <c r="M267" s="100"/>
      <c r="N267" s="100"/>
      <c r="O267" s="100"/>
      <c r="P267" s="100"/>
      <c r="Q267" s="100"/>
      <c r="R267" s="100"/>
    </row>
    <row r="268" spans="2:21" ht="32" x14ac:dyDescent="0.2">
      <c r="B268" s="96" t="s">
        <v>252</v>
      </c>
      <c r="C268" s="99" t="s">
        <v>253</v>
      </c>
      <c r="D268" s="98">
        <f>D267/'OUTPUT_Living wage'!$E$10</f>
        <v>0.42112244897959183</v>
      </c>
      <c r="E268" s="100"/>
      <c r="F268" s="100"/>
      <c r="G268" s="100"/>
      <c r="H268" s="100"/>
      <c r="I268" s="100"/>
      <c r="J268" s="100"/>
      <c r="K268" s="100"/>
      <c r="L268" s="100"/>
      <c r="M268" s="100"/>
      <c r="N268" s="100"/>
      <c r="O268" s="100"/>
      <c r="P268" s="100"/>
      <c r="Q268" s="100"/>
      <c r="R268" s="100"/>
    </row>
    <row r="269" spans="2:21" x14ac:dyDescent="0.2">
      <c r="B269" s="101"/>
      <c r="C269" s="102"/>
      <c r="D269" s="100"/>
      <c r="E269" s="100"/>
      <c r="F269" s="100"/>
      <c r="G269" s="100"/>
      <c r="H269" s="100"/>
      <c r="I269" s="100"/>
      <c r="J269" s="100"/>
      <c r="K269" s="100"/>
      <c r="L269" s="100"/>
      <c r="M269" s="100"/>
      <c r="N269" s="100"/>
      <c r="O269" s="100"/>
      <c r="P269" s="100"/>
      <c r="Q269" s="100"/>
      <c r="R269" s="100"/>
    </row>
    <row r="270" spans="2:21" x14ac:dyDescent="0.2">
      <c r="B270" s="93" t="s">
        <v>406</v>
      </c>
      <c r="C270" s="94"/>
      <c r="D270" s="95"/>
      <c r="E270" s="95"/>
      <c r="F270" s="95"/>
      <c r="G270" s="95"/>
      <c r="H270" s="95"/>
      <c r="I270" s="95"/>
      <c r="J270" s="95"/>
      <c r="K270" s="95"/>
      <c r="L270" s="95"/>
      <c r="M270" s="95"/>
      <c r="N270" s="95"/>
      <c r="O270" s="95"/>
      <c r="P270" s="95"/>
      <c r="Q270" s="95"/>
      <c r="R270" s="93"/>
    </row>
    <row r="271" spans="2:21" ht="16" x14ac:dyDescent="0.2">
      <c r="B271" s="96" t="s">
        <v>405</v>
      </c>
      <c r="C271" s="97" t="s">
        <v>397</v>
      </c>
      <c r="D271" s="98">
        <f>'CLS - Input data'!D33/'CLS - Input data'!D18</f>
        <v>20500</v>
      </c>
      <c r="E271" s="98">
        <f>'CLS - Input data'!E33/'CLS - Input data'!E18</f>
        <v>7500</v>
      </c>
      <c r="F271" s="98">
        <f>'CLS - Input data'!F33/'CLS - Input data'!F18</f>
        <v>5000</v>
      </c>
      <c r="G271" s="98">
        <f>'CLS - Input data'!G33/'CLS - Input data'!G18</f>
        <v>1000</v>
      </c>
      <c r="H271" s="98">
        <f>'CLS - Input data'!H33/'CLS - Input data'!H18</f>
        <v>0</v>
      </c>
      <c r="I271" s="98">
        <f>'CLS - Input data'!I33/'CLS - Input data'!I18</f>
        <v>7000</v>
      </c>
      <c r="J271" s="98">
        <f>'CLS - Input data'!J33/'CLS - Input data'!J18</f>
        <v>10000</v>
      </c>
      <c r="K271" s="98">
        <f>'CLS - Input data'!K33/'CLS - Input data'!K18</f>
        <v>500</v>
      </c>
      <c r="L271" s="98">
        <f>'CLS - Input data'!L33/'CLS - Input data'!L18</f>
        <v>2500</v>
      </c>
      <c r="M271" s="98">
        <f>'CLS - Input data'!M33/'CLS - Input data'!M18</f>
        <v>0</v>
      </c>
      <c r="N271" s="98">
        <f>'CLS - Input data'!N33/'CLS - Input data'!N18</f>
        <v>7500</v>
      </c>
      <c r="O271" s="98">
        <f>'CLS - Input data'!O33/'CLS - Input data'!O18</f>
        <v>0</v>
      </c>
      <c r="P271" s="98">
        <f>'CLS - Input data'!P33/'CLS - Input data'!P18</f>
        <v>17500</v>
      </c>
      <c r="Q271" s="98">
        <f>'CLS - Input data'!Q33/'CLS - Input data'!Q18</f>
        <v>3000</v>
      </c>
      <c r="R271" s="98">
        <f>'CLS - Input data'!R33/'CLS - Input data'!R18</f>
        <v>3000</v>
      </c>
    </row>
    <row r="272" spans="2:21" ht="32" x14ac:dyDescent="0.2">
      <c r="B272" s="96" t="s">
        <v>252</v>
      </c>
      <c r="C272" s="99" t="s">
        <v>397</v>
      </c>
      <c r="D272" s="98">
        <f>AVERAGE(D271:Q271)</f>
        <v>5857.1428571428569</v>
      </c>
      <c r="E272" s="100"/>
      <c r="F272" s="100"/>
      <c r="G272" s="100"/>
      <c r="H272" s="100"/>
      <c r="I272" s="100"/>
      <c r="J272" s="100"/>
      <c r="K272" s="100"/>
      <c r="L272" s="100"/>
      <c r="M272" s="100"/>
      <c r="N272" s="100"/>
      <c r="O272" s="100"/>
      <c r="P272" s="100"/>
      <c r="Q272" s="100"/>
      <c r="R272" s="100"/>
    </row>
    <row r="273" spans="2:18" ht="32" x14ac:dyDescent="0.2">
      <c r="B273" s="96" t="s">
        <v>252</v>
      </c>
      <c r="C273" s="99" t="s">
        <v>253</v>
      </c>
      <c r="D273" s="98">
        <f>D272/'OUTPUT_Living wage'!$E$10</f>
        <v>1.5937803692905732</v>
      </c>
      <c r="E273" s="100"/>
      <c r="F273" s="100"/>
      <c r="G273" s="100"/>
      <c r="H273" s="100"/>
      <c r="I273" s="100"/>
      <c r="J273" s="100"/>
      <c r="K273" s="100"/>
      <c r="L273" s="100"/>
      <c r="M273" s="100"/>
      <c r="N273" s="100"/>
      <c r="O273" s="100"/>
      <c r="P273" s="100"/>
      <c r="Q273" s="100"/>
      <c r="R273" s="100"/>
    </row>
    <row r="274" spans="2:18" x14ac:dyDescent="0.2">
      <c r="B274" s="22" t="s">
        <v>365</v>
      </c>
    </row>
    <row r="275" spans="2:18" x14ac:dyDescent="0.2">
      <c r="C275" s="22" t="s">
        <v>364</v>
      </c>
      <c r="D275" s="56">
        <f>IF('4. NFNH costs'!D40="Regional",'4. NFNH costs'!E25,'4. NFNH costs'!D25)</f>
        <v>0.45</v>
      </c>
    </row>
    <row r="276" spans="2:18" x14ac:dyDescent="0.2">
      <c r="B276" s="22" t="s">
        <v>362</v>
      </c>
      <c r="C276" s="22" t="s">
        <v>364</v>
      </c>
      <c r="D276" s="56">
        <f>IF('4. NFNH costs'!D40="Regional",SUM('4. NFNH costs'!E29:E37)+'4. NFNH costs'!E27 - IF(D11=0,'4. NFNH costs'!E34,0), SUM('4. NFNH costs'!D29:D37)+'4. NFNH costs'!D27 - IF(D11=0,'4. NFNH costs'!D34,0))</f>
        <v>0.41900000000000004</v>
      </c>
    </row>
    <row r="277" spans="2:18" ht="16" thickBot="1" x14ac:dyDescent="0.25"/>
    <row r="278" spans="2:18" ht="16" thickBot="1" x14ac:dyDescent="0.25">
      <c r="B278" s="103" t="s">
        <v>251</v>
      </c>
      <c r="C278" s="104"/>
      <c r="D278" s="105">
        <f>'Background calculations'!D276/'Background calculations'!D275</f>
        <v>0.93111111111111122</v>
      </c>
    </row>
    <row r="280" spans="2:18" x14ac:dyDescent="0.2">
      <c r="B280" s="22" t="s">
        <v>94</v>
      </c>
      <c r="C280" s="106">
        <f>'OUTPUT_Living wage'!E28</f>
        <v>648047.93871518131</v>
      </c>
      <c r="D280" s="22" t="s">
        <v>397</v>
      </c>
    </row>
    <row r="281" spans="2:18" x14ac:dyDescent="0.2">
      <c r="B281" s="22" t="s">
        <v>48</v>
      </c>
      <c r="C281" s="106">
        <f>C280*'Background calculations'!D278</f>
        <v>603404.63627035776</v>
      </c>
      <c r="D281" s="22" t="s">
        <v>397</v>
      </c>
    </row>
    <row r="283" spans="2:18" x14ac:dyDescent="0.2">
      <c r="B283" s="22" t="s">
        <v>255</v>
      </c>
      <c r="C283" s="106">
        <f>C280/'Background calculations'!D275</f>
        <v>1440106.5304781806</v>
      </c>
      <c r="D283" s="22" t="s">
        <v>397</v>
      </c>
    </row>
    <row r="285" spans="2:18" x14ac:dyDescent="0.2">
      <c r="C285" s="53" t="str">
        <f>'4. NFNH costs'!D40</f>
        <v>National</v>
      </c>
      <c r="D285" s="53" t="s">
        <v>264</v>
      </c>
    </row>
    <row r="286" spans="2:18" x14ac:dyDescent="0.2">
      <c r="B286" s="22" t="s">
        <v>64</v>
      </c>
      <c r="C286" s="107">
        <f>INDEX('4. NFNH costs'!$D$25:$E$37, MATCH('Background calculations'!B286,'4. NFNH costs'!$C$25:$C$37,0), MATCH('Background calculations'!$C$285,'4. NFNH costs'!$D$24:$E$24,0)) - IF(D11=0,'4. NFNH costs'!E34,0)</f>
        <v>1.7999999999999999E-2</v>
      </c>
      <c r="D286" s="106">
        <f>$C$283*C286</f>
        <v>25921.917548607249</v>
      </c>
    </row>
    <row r="287" spans="2:18" x14ac:dyDescent="0.2">
      <c r="B287" s="22" t="s">
        <v>47</v>
      </c>
      <c r="C287" s="107">
        <f>INDEX('4. NFNH costs'!$D$25:$E$37, MATCH('Background calculations'!B287,'4. NFNH costs'!$C$25:$C$37,0), MATCH('Background calculations'!$C$285,'4. NFNH costs'!$D$24:$E$24,0))</f>
        <v>0.04</v>
      </c>
      <c r="D287" s="106">
        <f>$C$283*C287</f>
        <v>57604.261219127227</v>
      </c>
    </row>
    <row r="288" spans="2:18" ht="16" thickBot="1" x14ac:dyDescent="0.25">
      <c r="B288" s="108" t="s">
        <v>78</v>
      </c>
      <c r="C288" s="107">
        <f>INDEX('4. NFNH costs'!$D$25:$E$37, MATCH('Background calculations'!B288,'4. NFNH costs'!$C$25:$C$37,0), MATCH('Background calculations'!$C$285,'4. NFNH costs'!$D$24:$E$24,0))</f>
        <v>3.6999999999999998E-2</v>
      </c>
      <c r="D288" s="106">
        <f>$C$283*C288</f>
        <v>53283.941627692679</v>
      </c>
    </row>
    <row r="289" spans="2:8" ht="16" thickTop="1" x14ac:dyDescent="0.2"/>
    <row r="290" spans="2:8" ht="16" x14ac:dyDescent="0.2">
      <c r="C290" s="109" t="s">
        <v>99</v>
      </c>
      <c r="D290" s="53" t="s">
        <v>11</v>
      </c>
      <c r="E290" s="22" t="s">
        <v>603</v>
      </c>
      <c r="G290" s="53" t="s">
        <v>34</v>
      </c>
    </row>
    <row r="291" spans="2:8" x14ac:dyDescent="0.2">
      <c r="B291" s="22" t="s">
        <v>64</v>
      </c>
      <c r="C291" s="106">
        <f>'Background calculations'!D262*D11</f>
        <v>63432.5</v>
      </c>
      <c r="D291" s="106">
        <f>D286</f>
        <v>25921.917548607249</v>
      </c>
      <c r="E291" s="106">
        <v>0</v>
      </c>
      <c r="G291" s="110">
        <f>IF(AND($D$11&lt;&gt;0,OR(C291&gt;D291*2.5,D291&gt;C291*2.5)), 25%/3 * SIGN(C291-D291), 0)</f>
        <v>0</v>
      </c>
    </row>
    <row r="292" spans="2:8" x14ac:dyDescent="0.2">
      <c r="B292" s="22" t="s">
        <v>47</v>
      </c>
      <c r="C292" s="106">
        <f>'Background calculations'!D272*(D10+D11)</f>
        <v>23428.571428571428</v>
      </c>
      <c r="D292" s="106">
        <f>D287</f>
        <v>57604.261219127227</v>
      </c>
      <c r="E292" s="106">
        <v>0</v>
      </c>
      <c r="G292" s="110">
        <f>IF(AND($D$11&lt;&gt;0,OR(C292&gt;D292*2.5,D292&gt;C292*2.5)), 25%/3 * SIGN(C292-D292), 0)</f>
        <v>0</v>
      </c>
    </row>
    <row r="293" spans="2:8" ht="16" thickBot="1" x14ac:dyDescent="0.25">
      <c r="B293" s="22" t="s">
        <v>78</v>
      </c>
      <c r="C293" s="111">
        <f>'Background calculations'!D267*(D10+D11)</f>
        <v>6190.5</v>
      </c>
      <c r="D293" s="111">
        <f>D288</f>
        <v>53283.941627692679</v>
      </c>
      <c r="E293" s="106">
        <v>0</v>
      </c>
      <c r="G293" s="110">
        <f>IF(AND($D$11&lt;&gt;0,OR(C293&gt;D293*2.5,D293&gt;C293*2.5)), 25%/3 * SIGN(C293-D293), 0)</f>
        <v>-8.3333333333333329E-2</v>
      </c>
    </row>
    <row r="294" spans="2:8" ht="16" thickBot="1" x14ac:dyDescent="0.25">
      <c r="B294" s="112" t="s">
        <v>51</v>
      </c>
      <c r="C294" s="113">
        <f>SUM(C291:C293)</f>
        <v>93051.57142857142</v>
      </c>
      <c r="D294" s="113">
        <f>SUM(D291:D293)</f>
        <v>136810.12039542716</v>
      </c>
      <c r="E294" s="104"/>
      <c r="F294" s="114"/>
      <c r="G294" s="115">
        <f>SUM(G291:G293)</f>
        <v>-8.3333333333333329E-2</v>
      </c>
      <c r="H294" s="59"/>
    </row>
    <row r="297" spans="2:8" x14ac:dyDescent="0.2">
      <c r="B297" s="22" t="s">
        <v>95</v>
      </c>
      <c r="C297" s="106">
        <f>C281</f>
        <v>603404.63627035776</v>
      </c>
    </row>
    <row r="298" spans="2:8" x14ac:dyDescent="0.2">
      <c r="B298" s="22" t="s">
        <v>96</v>
      </c>
      <c r="C298" s="110">
        <f>G294</f>
        <v>-8.3333333333333329E-2</v>
      </c>
    </row>
    <row r="299" spans="2:8" ht="16" thickBot="1" x14ac:dyDescent="0.25">
      <c r="C299" s="116"/>
    </row>
    <row r="300" spans="2:8" ht="16" thickBot="1" x14ac:dyDescent="0.25">
      <c r="B300" s="112" t="s">
        <v>97</v>
      </c>
      <c r="C300" s="117">
        <f>C281*(1+C298)</f>
        <v>553120.9165811612</v>
      </c>
      <c r="D300" s="63" t="s">
        <v>397</v>
      </c>
    </row>
    <row r="307" spans="3:3" x14ac:dyDescent="0.2">
      <c r="C307" s="333"/>
    </row>
  </sheetData>
  <mergeCells count="5">
    <mergeCell ref="B5:S5"/>
    <mergeCell ref="I41:L41"/>
    <mergeCell ref="N41:Q41"/>
    <mergeCell ref="B124:B125"/>
    <mergeCell ref="F214:G214"/>
  </mergeCells>
  <phoneticPr fontId="13" type="noConversion"/>
  <conditionalFormatting sqref="C43:C57">
    <cfRule type="containsText" dxfId="1" priority="1" operator="containsText" text="FALSE">
      <formula>NOT(ISERROR(SEARCH("FALSE",C43)))</formula>
    </cfRule>
    <cfRule type="containsText" dxfId="0" priority="2" operator="containsText" text="TRUE">
      <formula>NOT(ISERROR(SEARCH("TRUE",C43)))</formula>
    </cfRule>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2b5b377-5ded-413d-b4d5-c72a836bb93c" xsi:nil="true"/>
    <lcf76f155ced4ddcb4097134ff3c332f xmlns="934bf06a-38ee-49b6-9420-ee8f688d1e2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6A618E2C5A5C946923B711EFBA4932E" ma:contentTypeVersion="19" ma:contentTypeDescription="Een nieuw document maken." ma:contentTypeScope="" ma:versionID="44ebcb73cafc40562f3512646ba1d534">
  <xsd:schema xmlns:xsd="http://www.w3.org/2001/XMLSchema" xmlns:xs="http://www.w3.org/2001/XMLSchema" xmlns:p="http://schemas.microsoft.com/office/2006/metadata/properties" xmlns:ns2="82b5b377-5ded-413d-b4d5-c72a836bb93c" xmlns:ns3="934bf06a-38ee-49b6-9420-ee8f688d1e24" targetNamespace="http://schemas.microsoft.com/office/2006/metadata/properties" ma:root="true" ma:fieldsID="d882b3d13b33f0f25dde5e8eb2050770" ns2:_="" ns3:_="">
    <xsd:import namespace="82b5b377-5ded-413d-b4d5-c72a836bb93c"/>
    <xsd:import namespace="934bf06a-38ee-49b6-9420-ee8f688d1e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Location"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b5b377-5ded-413d-b4d5-c72a836bb93c"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element name="TaxCatchAll" ma:index="23" nillable="true" ma:displayName="Taxonomy Catch All Column" ma:hidden="true" ma:list="{15426440-f91a-46a8-9472-8286bc823be5}" ma:internalName="TaxCatchAll" ma:showField="CatchAllData" ma:web="82b5b377-5ded-413d-b4d5-c72a836bb93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34bf06a-38ee-49b6-9420-ee8f688d1e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Afbeeldingtags" ma:readOnly="false" ma:fieldId="{5cf76f15-5ced-4ddc-b409-7134ff3c332f}" ma:taxonomyMulti="true" ma:sspId="ce2eb92b-2f80-4394-b32e-820d5ac9118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28261E-C83F-4D20-95F7-E1C535D87BC6}">
  <ds:schemaRefs>
    <ds:schemaRef ds:uri="http://purl.org/dc/dcmitype/"/>
    <ds:schemaRef ds:uri="http://schemas.microsoft.com/office/infopath/2007/PartnerControls"/>
    <ds:schemaRef ds:uri="http://purl.org/dc/terms/"/>
    <ds:schemaRef ds:uri="http://www.w3.org/XML/1998/namespace"/>
    <ds:schemaRef ds:uri="http://purl.org/dc/elements/1.1/"/>
    <ds:schemaRef ds:uri="http://schemas.microsoft.com/office/2006/documentManagement/types"/>
    <ds:schemaRef ds:uri="934bf06a-38ee-49b6-9420-ee8f688d1e24"/>
    <ds:schemaRef ds:uri="http://schemas.microsoft.com/office/2006/metadata/properties"/>
    <ds:schemaRef ds:uri="http://schemas.openxmlformats.org/package/2006/metadata/core-properties"/>
    <ds:schemaRef ds:uri="82b5b377-5ded-413d-b4d5-c72a836bb93c"/>
  </ds:schemaRefs>
</ds:datastoreItem>
</file>

<file path=customXml/itemProps2.xml><?xml version="1.0" encoding="utf-8"?>
<ds:datastoreItem xmlns:ds="http://schemas.openxmlformats.org/officeDocument/2006/customXml" ds:itemID="{0C4DA19B-8B69-4F15-A45B-24183266DF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b5b377-5ded-413d-b4d5-c72a836bb93c"/>
    <ds:schemaRef ds:uri="934bf06a-38ee-49b6-9420-ee8f688d1e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5EAA744-97C5-4034-8D5B-8ADB1E76DB3D}">
  <ds:schemaRefs>
    <ds:schemaRef ds:uri="http://schemas.microsoft.com/sharepoint/v3/contenttype/forms"/>
  </ds:schemaRefs>
</ds:datastoreItem>
</file>

<file path=docMetadata/LabelInfo.xml><?xml version="1.0" encoding="utf-8"?>
<clbl:labelList xmlns:clbl="http://schemas.microsoft.com/office/2020/mipLabelMetadata">
  <clbl:label id="{a3927f91-cda1-4696-af89-8c9f1ceffa91}" enabled="0" method="" siteId="{a3927f91-cda1-4696-af89-8c9f1ceffa91}"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Guidance</vt:lpstr>
      <vt:lpstr>OUTPUT_Living wage</vt:lpstr>
      <vt:lpstr>1. Setting the boundaries</vt:lpstr>
      <vt:lpstr>2. Housing costs</vt:lpstr>
      <vt:lpstr>Decent housing</vt:lpstr>
      <vt:lpstr>3. Food costs</vt:lpstr>
      <vt:lpstr>CLS - Input data</vt:lpstr>
      <vt:lpstr>Food costs - Input data</vt:lpstr>
      <vt:lpstr>Nutritional input</vt:lpstr>
      <vt:lpstr>4. NFNH costs</vt:lpstr>
      <vt:lpstr>5. Income tax</vt:lpstr>
      <vt:lpstr>Background 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Davide</dc:creator>
  <cp:lastModifiedBy>Ezra Mugambe Mwesigwa</cp:lastModifiedBy>
  <cp:lastPrinted>2026-08-19T08:51:11Z</cp:lastPrinted>
  <dcterms:created xsi:type="dcterms:W3CDTF">2015-06-05T18:17:20Z</dcterms:created>
  <dcterms:modified xsi:type="dcterms:W3CDTF">2026-09-05T20:29:21Z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0x01010086A618E2C5A5C946923B711EFBA4932E</vt:lpwstr>
  </property>
  <property fmtid="{D5CDD505-2E9C-101B-9397-08002B2CF9AE}" pid="3" name="MediaServiceImageTags">
    <vt:lpwstr/>
  </property>
</Properties>
</file>